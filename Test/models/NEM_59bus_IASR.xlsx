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G:\github\Test\models\"/>
    </mc:Choice>
  </mc:AlternateContent>
  <xr:revisionPtr revIDLastSave="0" documentId="13_ncr:1_{64650DDD-85DA-4C01-98F5-CC5AD32EFE6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enerator Data" sheetId="18" r:id="rId1"/>
    <sheet name="Bus Data" sheetId="20" r:id="rId2"/>
    <sheet name="Utility Storage Data" sheetId="19" r:id="rId3"/>
  </sheets>
  <definedNames>
    <definedName name="_xlnm._FilterDatabase" localSheetId="1" hidden="1">'Bus Data'!$A$1:$E$60</definedName>
    <definedName name="_xlnm._FilterDatabase" localSheetId="0" hidden="1">'Generator Data'!$A$1:$I$147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9" l="1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" i="19"/>
  <c r="E22" i="19"/>
  <c r="F22" i="19" s="1"/>
  <c r="E21" i="19"/>
  <c r="F21" i="19" s="1"/>
  <c r="E20" i="19"/>
  <c r="F20" i="19" s="1"/>
  <c r="E19" i="19"/>
  <c r="F19" i="19" s="1"/>
  <c r="E18" i="19"/>
  <c r="F18" i="19" s="1"/>
  <c r="E17" i="19"/>
  <c r="F17" i="19" s="1"/>
  <c r="E16" i="19"/>
  <c r="F16" i="19" s="1"/>
  <c r="E15" i="19"/>
  <c r="F15" i="19" s="1"/>
  <c r="E14" i="19"/>
  <c r="F14" i="19" s="1"/>
  <c r="E13" i="19"/>
  <c r="F13" i="19" s="1"/>
  <c r="E12" i="19"/>
  <c r="F12" i="19" s="1"/>
  <c r="E11" i="19"/>
  <c r="F11" i="19" s="1"/>
  <c r="E10" i="19"/>
  <c r="F10" i="19" s="1"/>
  <c r="E9" i="19"/>
  <c r="F9" i="19" s="1"/>
  <c r="E8" i="19"/>
  <c r="F8" i="19" s="1"/>
  <c r="E7" i="19"/>
  <c r="F7" i="19" s="1"/>
  <c r="E6" i="19"/>
  <c r="F6" i="19" s="1"/>
  <c r="E5" i="19"/>
  <c r="F5" i="19" s="1"/>
  <c r="E4" i="19"/>
  <c r="F4" i="19" s="1"/>
  <c r="E3" i="19"/>
  <c r="F3" i="19" s="1"/>
  <c r="E2" i="19"/>
  <c r="F2" i="19" s="1"/>
  <c r="G98" i="18"/>
  <c r="D98" i="18"/>
  <c r="G97" i="18"/>
  <c r="D97" i="18"/>
  <c r="G95" i="18"/>
  <c r="D95" i="18"/>
  <c r="G94" i="18"/>
  <c r="D94" i="18"/>
  <c r="G91" i="18"/>
  <c r="D91" i="18"/>
  <c r="G90" i="18"/>
  <c r="D90" i="18"/>
  <c r="G88" i="18"/>
  <c r="D88" i="18"/>
  <c r="G87" i="18"/>
  <c r="D87" i="18"/>
  <c r="G84" i="18"/>
  <c r="D84" i="18"/>
  <c r="G82" i="18"/>
  <c r="D82" i="18"/>
  <c r="G81" i="18"/>
  <c r="D81" i="18"/>
  <c r="G78" i="18"/>
  <c r="D78" i="18"/>
  <c r="D77" i="18"/>
  <c r="G76" i="18"/>
  <c r="D76" i="18"/>
  <c r="F70" i="18"/>
  <c r="G68" i="18"/>
  <c r="D68" i="18"/>
  <c r="D66" i="18"/>
  <c r="G65" i="18"/>
  <c r="D65" i="18"/>
  <c r="G64" i="18"/>
  <c r="D64" i="18"/>
  <c r="G62" i="18"/>
  <c r="D62" i="18"/>
  <c r="G61" i="18"/>
  <c r="D61" i="18"/>
  <c r="G60" i="18"/>
  <c r="D60" i="18"/>
  <c r="G59" i="18"/>
  <c r="D59" i="18"/>
  <c r="G58" i="18"/>
  <c r="D58" i="18"/>
  <c r="G57" i="18"/>
  <c r="D57" i="18"/>
  <c r="G56" i="18"/>
  <c r="D56" i="18"/>
  <c r="G55" i="18"/>
  <c r="D55" i="18"/>
  <c r="G53" i="18"/>
  <c r="D53" i="18"/>
  <c r="G52" i="18"/>
  <c r="D52" i="18"/>
  <c r="G51" i="18"/>
  <c r="D51" i="18"/>
  <c r="G50" i="18"/>
  <c r="D50" i="18"/>
  <c r="G48" i="18"/>
  <c r="D48" i="18"/>
  <c r="G47" i="18"/>
  <c r="D47" i="18"/>
  <c r="G46" i="18"/>
  <c r="D46" i="18"/>
  <c r="G41" i="18"/>
  <c r="D41" i="18"/>
  <c r="D36" i="18"/>
  <c r="G35" i="18"/>
  <c r="D35" i="18"/>
  <c r="G34" i="18"/>
  <c r="E34" i="18"/>
  <c r="D34" i="18"/>
  <c r="G33" i="18"/>
  <c r="D33" i="18"/>
  <c r="G32" i="18"/>
  <c r="D32" i="18"/>
  <c r="G31" i="18"/>
  <c r="E31" i="18"/>
  <c r="D31" i="18"/>
  <c r="G30" i="18"/>
  <c r="E30" i="18"/>
  <c r="D30" i="18"/>
  <c r="D29" i="18"/>
  <c r="D28" i="18"/>
  <c r="D27" i="18"/>
  <c r="G26" i="18"/>
  <c r="D26" i="18"/>
  <c r="D25" i="18"/>
  <c r="D19" i="18"/>
  <c r="G18" i="18"/>
  <c r="D18" i="18"/>
  <c r="G17" i="18"/>
  <c r="D17" i="18"/>
  <c r="G16" i="18"/>
  <c r="D16" i="18"/>
  <c r="G14" i="18"/>
  <c r="D14" i="18"/>
  <c r="G10" i="18"/>
  <c r="D10" i="18"/>
  <c r="G9" i="18"/>
  <c r="D9" i="18"/>
  <c r="G8" i="18"/>
  <c r="D8" i="18"/>
  <c r="G7" i="18"/>
  <c r="D7" i="18"/>
  <c r="G6" i="18"/>
  <c r="D6" i="18"/>
  <c r="D3" i="18"/>
  <c r="D2" i="18"/>
  <c r="D70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tc={1A06FC81-18CE-4ECC-B03C-98F5CA930499}</author>
    <author>tc={1FFC3E6C-90E4-4BFC-AA6D-D136A70DA36F}</author>
    <author>tc={65468E5F-3387-4DEF-948E-BA42A6CB751A}</author>
  </authors>
  <commentList>
    <comment ref="D1" authorId="0" shapeId="0" xr:uid="{1A06FC81-18CE-4ECC-B03C-98F5CA930499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AEMO 2025 ISP IASR
Fixed OPEX
Coal = $ 41230/MW/annum (avg)
OCGT = $ 27000/MW/annum 
CCGT = $ 73000/MW/annum (avg)
Hydro = $ 106920/MW/annum
Assumed Brown coal is 0.8 of Black Coal costs
Coal = $ 4.707/MW/hour (avg)
OCGT = $ 3.082/MW/hour (avg)
CCGT= $ 8.333/MW/hour (avg)
Hydro = $ 12.205/MW/hour 
Solar/Wind = 0
*per unit online
</t>
      </text>
    </comment>
    <comment ref="E1" authorId="1" shapeId="0" xr:uid="{1FFC3E6C-90E4-4BFC-AA6D-D136A70DA36F}">
      <text>
        <t>[线程批注]
你的Excel版本可读取此线程批注; 但如果在更新版本的Excel中打开文件，则对批注所作的任何改动都将被删除。了解详细信息: https://go.microsoft.com/fwlink/?linkid=870924
注释:
    AEMO 2025 ISP IASR
SRMC
Coal = $49.46 / MWh (Avg)
CCGT = $ 126.14 / MWh (Avg)
OCGT = $ 208.96 / MWh (Avg)
Hydro = $ 8.99 / MWh (Avg)</t>
      </text>
    </comment>
    <comment ref="G1" authorId="2" shapeId="0" xr:uid="{65468E5F-3387-4DEF-948E-BA42A6CB751A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AEMO 2024 ISP Inputs and Assumptions
Coal = 35% of nameplate (average of existing generators)
Gas = 38% of nameplate
Hydro = 0%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tc={31B3CE41-D465-49EF-BC57-B2B79999AA7B}</author>
  </authors>
  <commentList>
    <comment ref="I1" authorId="0" shapeId="0" xr:uid="{31B3CE41-D465-49EF-BC57-B2B79999AA7B}">
      <text>
        <t>[线程批注]
你的Excel版本可读取此线程批注; 但如果在更新版本的Excel中打开文件，则对批注所作的任何改动都将被删除。了解详细信息: https://go.microsoft.com/fwlink/?linkid=870924
注释:
    2 hours Utility Storage:
Net. Cost 8000 $/MW - annual
With T=8760h the marginal cost is 
0.913 $/MW/h</t>
      </text>
    </comment>
  </commentList>
</comments>
</file>

<file path=xl/sharedStrings.xml><?xml version="1.0" encoding="utf-8"?>
<sst xmlns="http://schemas.openxmlformats.org/spreadsheetml/2006/main" count="632" uniqueCount="273">
  <si>
    <t>N_101</t>
  </si>
  <si>
    <t>HYDR</t>
  </si>
  <si>
    <t>N_201</t>
  </si>
  <si>
    <t>BlCT</t>
  </si>
  <si>
    <t>N_202</t>
  </si>
  <si>
    <t>N_203</t>
  </si>
  <si>
    <t>OCGT</t>
  </si>
  <si>
    <t>N_204</t>
  </si>
  <si>
    <t>N_301</t>
  </si>
  <si>
    <t>BrCT</t>
  </si>
  <si>
    <t>N_302</t>
  </si>
  <si>
    <t>N_401</t>
  </si>
  <si>
    <t>N_402</t>
  </si>
  <si>
    <t>CCGT</t>
  </si>
  <si>
    <t>N_403</t>
  </si>
  <si>
    <t>N_404</t>
  </si>
  <si>
    <t>N_501</t>
  </si>
  <si>
    <t>N_502</t>
  </si>
  <si>
    <t>N_503</t>
  </si>
  <si>
    <t>REZ_N6_Wagga_Wagga_SAT_RefYear4006</t>
  </si>
  <si>
    <t>N_102</t>
  </si>
  <si>
    <t>N8_WM_Cooma-Monaro_RefYear4006</t>
  </si>
  <si>
    <t>REZ_N5_South_West_NSW_SAT_RefYear4006</t>
  </si>
  <si>
    <t>N_205</t>
  </si>
  <si>
    <t>N_206</t>
  </si>
  <si>
    <t>N_207</t>
  </si>
  <si>
    <t>N_208</t>
  </si>
  <si>
    <t>N3_WM_Central-West_Orana_RefYear4006</t>
  </si>
  <si>
    <t>N_209</t>
  </si>
  <si>
    <t>REZ_N3_Central-West_Orana_SAT_RefYear4006</t>
  </si>
  <si>
    <t>N_210</t>
  </si>
  <si>
    <t>REZ_N1_North_West_NSW_SAT_RefYear4006</t>
  </si>
  <si>
    <t>N_211</t>
  </si>
  <si>
    <t>N_212</t>
  </si>
  <si>
    <t>N_213</t>
  </si>
  <si>
    <t>N2_WM_New_England_RefYear4006</t>
  </si>
  <si>
    <t>REZ_N2_New_England_SAT_RefYear4006</t>
  </si>
  <si>
    <t>N_214</t>
  </si>
  <si>
    <t>N_215</t>
  </si>
  <si>
    <t>N_216</t>
  </si>
  <si>
    <t>N_217</t>
  </si>
  <si>
    <t>V4_WM_South_West_Victoria_RefYear4006</t>
  </si>
  <si>
    <t>REZ_V2_Murray_River_SAT_RefYear4006</t>
  </si>
  <si>
    <t>N_303</t>
  </si>
  <si>
    <t>N_304</t>
  </si>
  <si>
    <t>V3_WM_Western_Victoria_RefYear4006</t>
  </si>
  <si>
    <t>N_305</t>
  </si>
  <si>
    <t>N_306</t>
  </si>
  <si>
    <t>N_307</t>
  </si>
  <si>
    <t>N_308</t>
  </si>
  <si>
    <t>N_309</t>
  </si>
  <si>
    <t>N_310</t>
  </si>
  <si>
    <t>N_311</t>
  </si>
  <si>
    <t>REZ_V6_Central_North_Vic_SAT_RefYear4006</t>
  </si>
  <si>
    <t>N_312</t>
  </si>
  <si>
    <t>N_313</t>
  </si>
  <si>
    <t>N_314</t>
  </si>
  <si>
    <t>N_315</t>
  </si>
  <si>
    <t>REZ_Q8_Darling_Downs_SAT_RefYear4006</t>
  </si>
  <si>
    <t>N_405</t>
  </si>
  <si>
    <t>N_406</t>
  </si>
  <si>
    <t>Q2_WH_North_Qld_Clean_Energy_Hub_RefYear4006</t>
  </si>
  <si>
    <t>N_407</t>
  </si>
  <si>
    <t>Q8_WM_Darling_Downs_RefYear4006</t>
  </si>
  <si>
    <t>REZ_Q2_North_Qld_Clean_Energy_Hub_SAT_RefYear4006</t>
  </si>
  <si>
    <t>N_408</t>
  </si>
  <si>
    <t>REZ_Q7_Wide_Bay_SAT_RefYear4006</t>
  </si>
  <si>
    <t>N_409</t>
  </si>
  <si>
    <t>N_410</t>
  </si>
  <si>
    <t>N_411</t>
  </si>
  <si>
    <t>N_412</t>
  </si>
  <si>
    <t>N_413</t>
  </si>
  <si>
    <t>N_414</t>
  </si>
  <si>
    <t>N_415</t>
  </si>
  <si>
    <t>REZ_Q4_Isaac_SAT_RefYear4006</t>
  </si>
  <si>
    <t>N_416</t>
  </si>
  <si>
    <t>S1_WM_South_East_SA_RefYear4006</t>
  </si>
  <si>
    <t>REZ_S5_Northern_SA_SAT_RefYear4006</t>
  </si>
  <si>
    <t>N_504</t>
  </si>
  <si>
    <t>N_505</t>
  </si>
  <si>
    <t>S3_WM_Mid-North_SA_RefYear4006</t>
  </si>
  <si>
    <t>REZ_S1_South_East_SA_SAT_RefYear4006</t>
  </si>
  <si>
    <t>N_506</t>
  </si>
  <si>
    <t>S5_WM_Northern_SA_RefYear4006</t>
  </si>
  <si>
    <t>N_507</t>
  </si>
  <si>
    <t>N_508</t>
  </si>
  <si>
    <t>N_509</t>
  </si>
  <si>
    <t>Location Bus</t>
  </si>
  <si>
    <t>Bus Name</t>
  </si>
  <si>
    <t>Demand Trace Weightage</t>
  </si>
  <si>
    <t>Maximum Charge Rate (MW/h)</t>
  </si>
  <si>
    <t>Maximum Discharge Rate (MW/h)</t>
  </si>
  <si>
    <t>Demand Trace Name</t>
  </si>
  <si>
    <t>Wind Trace Name</t>
  </si>
  <si>
    <t>PV Trace Name</t>
  </si>
  <si>
    <t>Utility Storage Name</t>
  </si>
  <si>
    <t>Maximum Storage Capacity (MWh)</t>
  </si>
  <si>
    <t>Minimum Storage Capacity (MWh)</t>
  </si>
  <si>
    <t>Charging Efficiency (%)</t>
  </si>
  <si>
    <t>Discharging Efficiency (%)</t>
  </si>
  <si>
    <t>CCGT_NQ</t>
  </si>
  <si>
    <t>CCGT_CSA</t>
  </si>
  <si>
    <t>OCGT_CSA</t>
  </si>
  <si>
    <t>OCGT_SESA</t>
  </si>
  <si>
    <t>Hydro_NQ</t>
  </si>
  <si>
    <t>Solar_CNSW</t>
  </si>
  <si>
    <t>Solar_SQ</t>
  </si>
  <si>
    <t>Solar_NQ</t>
  </si>
  <si>
    <t>Solar_CSA</t>
  </si>
  <si>
    <t>Wind_SNSW</t>
  </si>
  <si>
    <t>WND</t>
  </si>
  <si>
    <t>Wind_CNSW</t>
  </si>
  <si>
    <t>Wind_NNSW</t>
  </si>
  <si>
    <t>Wind_NQ</t>
  </si>
  <si>
    <t>Wind_SESA</t>
  </si>
  <si>
    <t>Generator Name</t>
  </si>
  <si>
    <t>Number of Units</t>
  </si>
  <si>
    <t>Fix Cost ($)</t>
  </si>
  <si>
    <t>Variable Cost ($/MW)</t>
  </si>
  <si>
    <t>Maximum Real Power (MW)</t>
  </si>
  <si>
    <t>Minimum Real Power (MW)</t>
  </si>
  <si>
    <t>Generation Type</t>
  </si>
  <si>
    <t>Generation Tech</t>
  </si>
  <si>
    <t>MtPiper_CNSW</t>
  </si>
  <si>
    <t>Bayswater_CNSW</t>
  </si>
  <si>
    <t>Eraring_SNW</t>
  </si>
  <si>
    <t>ValesPointB_SNW</t>
  </si>
  <si>
    <t>Tarong_SQ</t>
  </si>
  <si>
    <t>TarongNorth_SQ</t>
  </si>
  <si>
    <t>Millmerran_SQ</t>
  </si>
  <si>
    <t>KoganCreek_SQ</t>
  </si>
  <si>
    <t>CallideB_CQ</t>
  </si>
  <si>
    <t>CallideC_CQ</t>
  </si>
  <si>
    <t>Stanwell_CQ</t>
  </si>
  <si>
    <t>LoyYangA_SEV</t>
  </si>
  <si>
    <t>LoyYangB_SEV</t>
  </si>
  <si>
    <t>YallournW_SEV</t>
  </si>
  <si>
    <t>Gladstone_GG</t>
  </si>
  <si>
    <t>Colongra_SNW</t>
  </si>
  <si>
    <t>Bairnsdale_SEV</t>
  </si>
  <si>
    <t>Barcaldine_CQ</t>
  </si>
  <si>
    <t>TorrensIsland_CSA</t>
  </si>
  <si>
    <t>PelicanPoint_CSA</t>
  </si>
  <si>
    <t>Uranquinty_SNSW</t>
  </si>
  <si>
    <t>Mortlake_WNV</t>
  </si>
  <si>
    <t>Braemar_SQ</t>
  </si>
  <si>
    <t>Newport_MEL</t>
  </si>
  <si>
    <t>Tallawara_SNW</t>
  </si>
  <si>
    <t>TallawaraB_SNW</t>
  </si>
  <si>
    <t>Hydro_WNV</t>
  </si>
  <si>
    <t>Solar_WNV_SNSW</t>
  </si>
  <si>
    <t>Wind_WNV_SNSW</t>
  </si>
  <si>
    <t>Hydro_SNSW1</t>
  </si>
  <si>
    <t>Hydro_WNV_SNSW</t>
  </si>
  <si>
    <t>SOLR</t>
  </si>
  <si>
    <t>Solar_NNSW_CNSW</t>
  </si>
  <si>
    <t>Hunter_SNW</t>
  </si>
  <si>
    <t>Smithfield_SNW</t>
  </si>
  <si>
    <t>PumpedHydro_CNSW</t>
  </si>
  <si>
    <t>Solar_CNSW_SNSW</t>
  </si>
  <si>
    <t>Wind_CNSW_SNSW</t>
  </si>
  <si>
    <t>Solar_SNSW1</t>
  </si>
  <si>
    <t>Solar_SNSW2</t>
  </si>
  <si>
    <t>Hydro_SNSW2</t>
  </si>
  <si>
    <t>Snowy2.0_SNSW</t>
  </si>
  <si>
    <t>Tumut3_SNSW</t>
  </si>
  <si>
    <t>UpperTumut_SNSW</t>
  </si>
  <si>
    <t>JeeralangA_SEV</t>
  </si>
  <si>
    <t>ValleyPower_SEV</t>
  </si>
  <si>
    <t>Wind_WNV1</t>
  </si>
  <si>
    <t>Wind_WNV2</t>
  </si>
  <si>
    <t>Wind_WNV3</t>
  </si>
  <si>
    <t>Wind_WNV4</t>
  </si>
  <si>
    <t>Solar_WNV2</t>
  </si>
  <si>
    <t>Solar_WNV1</t>
  </si>
  <si>
    <t>Wind_SEV</t>
  </si>
  <si>
    <t>LavertonNorth_MEL</t>
  </si>
  <si>
    <t>Somerton_MEL</t>
  </si>
  <si>
    <t>Wind_WNV5</t>
  </si>
  <si>
    <t>DarlingDowns_Steam_SQ</t>
  </si>
  <si>
    <t>DarlingDowns_Gas_SQ</t>
  </si>
  <si>
    <t>CondamineA_Gas_SQ</t>
  </si>
  <si>
    <t>CondamineA_Steam_SQ</t>
  </si>
  <si>
    <t>Solar_WNV3</t>
  </si>
  <si>
    <t>YarwinCogen_GG</t>
  </si>
  <si>
    <t>MtStuart_NQ</t>
  </si>
  <si>
    <t>Wind_CQ</t>
  </si>
  <si>
    <t>Solar_CQ1</t>
  </si>
  <si>
    <t>Solar_CQ2</t>
  </si>
  <si>
    <t>Swanbank_SQ</t>
  </si>
  <si>
    <t>PumpedHydro_SQ</t>
  </si>
  <si>
    <t>Wind_SQ2</t>
  </si>
  <si>
    <t>Wind_SQ1</t>
  </si>
  <si>
    <t>Solar_SQ1</t>
  </si>
  <si>
    <t>Solar_SQ2</t>
  </si>
  <si>
    <t>Roma_SQ</t>
  </si>
  <si>
    <t>Oakey_SQ</t>
  </si>
  <si>
    <t>Solar_SQ3</t>
  </si>
  <si>
    <t>Wind_SQ3</t>
  </si>
  <si>
    <t>Solar_SQ4</t>
  </si>
  <si>
    <t>Solar_NSA</t>
  </si>
  <si>
    <t>Hallett_CSA</t>
  </si>
  <si>
    <t>PortLincoln_NSA</t>
  </si>
  <si>
    <t>Wind_CSA_NSA</t>
  </si>
  <si>
    <t>Wind_NSA</t>
  </si>
  <si>
    <t>ICE_CSA</t>
  </si>
  <si>
    <t>N5_WM_South_West_NSW_RefYear4006</t>
  </si>
  <si>
    <t>N10_WFL_Hunter_Coast_RefYear4006</t>
  </si>
  <si>
    <t>N9_WM_Hunter-Central_Coast_RefYear4006</t>
  </si>
  <si>
    <t>N1_WM_North_West_NSW_RefYear4006</t>
  </si>
  <si>
    <t>N11_WFL_Illawarra_Coast_RefYear4006</t>
  </si>
  <si>
    <t>N7_WM_Tumut_RefYear4006</t>
  </si>
  <si>
    <t>N6_WM_Wagga_Wagga_RefYear4006</t>
  </si>
  <si>
    <t>V5_WM_Gippsland_RefYear4006</t>
  </si>
  <si>
    <t>V1_WM_Ovens_Murray_RefYear4006</t>
  </si>
  <si>
    <t>V6_WM_Central_North_Vic_RefYear4006</t>
  </si>
  <si>
    <t>V2_WM_Murray_River_RefYear4006</t>
  </si>
  <si>
    <t>V8_WFL_Portland_Coast_RefYear4006</t>
  </si>
  <si>
    <t>Q9_WM_Banana_RefYear4006</t>
  </si>
  <si>
    <t>Q6_WM_Fitzroy_RefYear4006</t>
  </si>
  <si>
    <t>Q7_WM_Wide_Bay_RefYear4006</t>
  </si>
  <si>
    <t>Q4_WM_Isaac_RefYear4006</t>
  </si>
  <si>
    <t>S4_WM_Yorke_Peninsula_RefYear4006</t>
  </si>
  <si>
    <t>REZ_N8_Cooma-Monaro_SAT_RefYear4006</t>
  </si>
  <si>
    <t>REZ_N9_Hunter-Central_Coast_SAT_RefYear4006</t>
  </si>
  <si>
    <t>REZ_N7_Tumut_SAT_RefYear4006</t>
  </si>
  <si>
    <t>REZ_V5_Gippsland_SAT_RefYear4006</t>
  </si>
  <si>
    <t>REZ_V1_Ovens_Murray_SAT_RefYear4006</t>
  </si>
  <si>
    <t>REZ_V3_Western_Victoria_SAT_RefYear4006</t>
  </si>
  <si>
    <t>REZ_V4_South_West_Victoria_SAT_RefYear4006</t>
  </si>
  <si>
    <t>REZ_Q9_Banana_SAT_RefYear4006</t>
  </si>
  <si>
    <t>REZ_Q6_Fitzroy_SAT_RefYear4006</t>
  </si>
  <si>
    <t>REZ_S3_Mid-North_SA_SAT_RefYear4006</t>
  </si>
  <si>
    <t>REZ_S4_Yorke_Peninsula_SAT_RefYear4006</t>
  </si>
  <si>
    <t>New_Solar_N3</t>
  </si>
  <si>
    <t>New_Wind_N3</t>
  </si>
  <si>
    <t>New_Solar_N2</t>
  </si>
  <si>
    <t>New_Wind_N2</t>
  </si>
  <si>
    <t>New_Solar_Q8</t>
  </si>
  <si>
    <t>New_Wind_Q8</t>
  </si>
  <si>
    <t>New_Solar_Q2</t>
  </si>
  <si>
    <t>New_Wind_Q2</t>
  </si>
  <si>
    <t>New_Solar_S3</t>
  </si>
  <si>
    <t>New_Wind_S3</t>
  </si>
  <si>
    <t>New_Wind_S10</t>
  </si>
  <si>
    <t>New_Wind_V8</t>
  </si>
  <si>
    <t>Eraring</t>
  </si>
  <si>
    <t>Liddell</t>
  </si>
  <si>
    <t>Koorangie_Gannawarra</t>
  </si>
  <si>
    <t>BrokenHill_QuornPark</t>
  </si>
  <si>
    <t>Riverina_agg</t>
  </si>
  <si>
    <t>Capital_agg</t>
  </si>
  <si>
    <t>Hazelwood_LaTrobeValley</t>
  </si>
  <si>
    <t>Bulgana</t>
  </si>
  <si>
    <t>Ballarat</t>
  </si>
  <si>
    <t>PhilipIsland</t>
  </si>
  <si>
    <t>MelbourneREH_Rangebank</t>
  </si>
  <si>
    <t>Victorian</t>
  </si>
  <si>
    <t>Bouldercombe</t>
  </si>
  <si>
    <t>Chinchilla_WandoanSout</t>
  </si>
  <si>
    <t>Greenbank</t>
  </si>
  <si>
    <t>Tarong</t>
  </si>
  <si>
    <t>Hornsdale_agg</t>
  </si>
  <si>
    <t>TorrensIsland</t>
  </si>
  <si>
    <t>Dalrymple</t>
  </si>
  <si>
    <t>TailemBend_agg</t>
  </si>
  <si>
    <t>LakeBonney</t>
  </si>
  <si>
    <t>NSW_RefYear_2023_STEP_CHANGE_POE10_OPSO_MODELLING_PVLITE</t>
  </si>
  <si>
    <t>VIC_RefYear_2023_STEP_CHANGE_POE10_OPSO_MODELLING_PVLITE</t>
  </si>
  <si>
    <t>QLD_RefYear_2023_STEP_CHANGE_POE10_OPSO_MODELLING_PVLITE</t>
  </si>
  <si>
    <t>SA_RefYear_2023_STEP_CHANGE_POE10_OPSO_MODELLING_PVLITE</t>
  </si>
  <si>
    <t>Marginal Cost Charge ($/MWh)</t>
    <phoneticPr fontId="1" type="noConversion"/>
  </si>
  <si>
    <t>Marginal Cost Discharge ($/MWh)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</si>
</sst>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gi Teola" id="{2B007770-1A85-4A8D-A02E-BBB802DB410F}" userId="S::luigi.teola@sydney.edu.au::28556d9a-ea73-489f-aa18-fa7064f56df4" providerId="AD"/>
  <person displayName="Zihao Qiu" id="{BDE48D56-D325-4A31-B2B8-3CD37F1F7BCC}" userId="S::zqiu0240@uni.sydney.edu.au::58a1009c-9152-45d1-8c34-6b4f708918a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4-16T07:53:30.24" personId="{2B007770-1A85-4A8D-A02E-BBB802DB410F}" id="{1A06FC81-18CE-4ECC-B03C-98F5CA930499}">
    <text xml:space="preserve">AEMO 2025 ISP IASR
Fixed OPEX
Coal = $ 41230/MW/annum (avg)
OCGT = $ 27000/MW/annum 
CCGT = $ 73000/MW/annum (avg)
Hydro = $ 106920/MW/annum
Assumed Brown coal is 0.8 of Black Coal costs
Coal = $ 4.707/MW/hour (avg)
OCGT = $ 3.082/MW/hour (avg)
CCGT= $ 8.333/MW/hour (avg)
Hydro = $ 12.205/MW/hour 
Solar/Wind = 0
*per unit online
</text>
  </threadedComment>
  <threadedComment ref="E1" dT="2025-04-16T07:55:48.62" personId="{2B007770-1A85-4A8D-A02E-BBB802DB410F}" id="{1FFC3E6C-90E4-4BFC-AA6D-D136A70DA36F}">
    <text>AEMO 2025 ISP IASR
SRMC
Coal = $49.46 / MWh (Avg)
CCGT = $ 126.14 / MWh (Avg)
OCGT = $ 208.96 / MWh (Avg)
Hydro = $ 8.99 / MWh (Avg)</text>
  </threadedComment>
  <threadedComment ref="G1" dT="2025-04-16T07:14:30.69" personId="{2B007770-1A85-4A8D-A02E-BBB802DB410F}" id="{65468E5F-3387-4DEF-948E-BA42A6CB751A}">
    <text xml:space="preserve">AEMO 2024 ISP Inputs and Assumptions
Coal = 35% of nameplate (average of existing generators)
Gas = 38% of nameplate
Hydro = 0%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6-03-29T13:07:25.09" personId="{BDE48D56-D325-4A31-B2B8-3CD37F1F7BCC}" id="{31B3CE41-D465-49EF-BC57-B2B79999AA7B}">
    <text>2 hours Utility Storage:
Net. Cost 8000 $/MW - annual
With T=8760h the marginal cost is 
0.913 $/MW/h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03C6-909C-49C6-92B8-75716A4181DA}">
  <dimension ref="A1:I111"/>
  <sheetViews>
    <sheetView workbookViewId="0">
      <selection activeCell="E1" sqref="E1"/>
    </sheetView>
  </sheetViews>
  <sheetFormatPr defaultColWidth="9.125" defaultRowHeight="14.25" x14ac:dyDescent="0.2"/>
  <cols>
    <col min="1" max="1" width="24.375" style="2" customWidth="1"/>
    <col min="2" max="2" width="12" style="2" bestFit="1" customWidth="1"/>
    <col min="3" max="3" width="15.75" style="2" customWidth="1"/>
    <col min="4" max="4" width="10.75" style="2" customWidth="1"/>
    <col min="5" max="5" width="20.25" style="2" customWidth="1"/>
    <col min="6" max="6" width="26.25" style="2" customWidth="1"/>
    <col min="7" max="7" width="26" style="2" customWidth="1"/>
    <col min="8" max="8" width="15.875" style="2" customWidth="1"/>
    <col min="9" max="9" width="15.75" style="2" bestFit="1" customWidth="1"/>
    <col min="10" max="16384" width="9.125" style="1"/>
  </cols>
  <sheetData>
    <row r="1" spans="1:9" x14ac:dyDescent="0.2">
      <c r="A1" s="2" t="s">
        <v>115</v>
      </c>
      <c r="B1" s="2" t="s">
        <v>87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</row>
    <row r="2" spans="1:9" x14ac:dyDescent="0.2">
      <c r="A2" s="2" t="s">
        <v>152</v>
      </c>
      <c r="B2" s="2" t="s">
        <v>0</v>
      </c>
      <c r="C2" s="2">
        <v>1</v>
      </c>
      <c r="D2" s="2">
        <f>12.205*F2</f>
        <v>18917.75</v>
      </c>
      <c r="E2" s="2">
        <v>8.99</v>
      </c>
      <c r="F2" s="2">
        <v>1550</v>
      </c>
      <c r="G2" s="2">
        <v>0</v>
      </c>
      <c r="H2" s="2">
        <v>1</v>
      </c>
      <c r="I2" s="2" t="s">
        <v>1</v>
      </c>
    </row>
    <row r="3" spans="1:9" x14ac:dyDescent="0.2">
      <c r="A3" s="2" t="s">
        <v>153</v>
      </c>
      <c r="B3" s="2" t="s">
        <v>20</v>
      </c>
      <c r="C3" s="2">
        <v>1</v>
      </c>
      <c r="D3" s="2">
        <f>12.205*F3</f>
        <v>7933.25</v>
      </c>
      <c r="E3" s="2">
        <v>8.99</v>
      </c>
      <c r="F3" s="2">
        <v>650</v>
      </c>
      <c r="G3" s="2">
        <v>0</v>
      </c>
      <c r="H3" s="2">
        <v>1</v>
      </c>
      <c r="I3" s="2" t="s">
        <v>1</v>
      </c>
    </row>
    <row r="4" spans="1:9" x14ac:dyDescent="0.2">
      <c r="A4" s="2" t="s">
        <v>150</v>
      </c>
      <c r="B4" s="2" t="s">
        <v>20</v>
      </c>
      <c r="C4" s="2">
        <v>1</v>
      </c>
      <c r="D4" s="2">
        <v>0</v>
      </c>
      <c r="E4" s="2">
        <v>0</v>
      </c>
      <c r="F4" s="2">
        <v>1922</v>
      </c>
      <c r="G4" s="2">
        <v>0</v>
      </c>
      <c r="H4" s="2">
        <v>2</v>
      </c>
      <c r="I4" s="2" t="s">
        <v>154</v>
      </c>
    </row>
    <row r="5" spans="1:9" x14ac:dyDescent="0.2">
      <c r="A5" s="2" t="s">
        <v>151</v>
      </c>
      <c r="B5" s="2" t="s">
        <v>20</v>
      </c>
      <c r="C5" s="2">
        <v>1</v>
      </c>
      <c r="D5" s="2">
        <v>0</v>
      </c>
      <c r="E5" s="2">
        <v>0</v>
      </c>
      <c r="F5" s="2">
        <v>113</v>
      </c>
      <c r="G5" s="2">
        <v>0</v>
      </c>
      <c r="H5" s="2">
        <v>2</v>
      </c>
      <c r="I5" s="2" t="s">
        <v>110</v>
      </c>
    </row>
    <row r="6" spans="1:9" x14ac:dyDescent="0.2">
      <c r="A6" s="2" t="s">
        <v>124</v>
      </c>
      <c r="B6" s="2" t="s">
        <v>2</v>
      </c>
      <c r="C6" s="2">
        <v>4</v>
      </c>
      <c r="D6" s="2">
        <f>4.707*F6</f>
        <v>3224.2950000000001</v>
      </c>
      <c r="E6" s="2">
        <v>49.46</v>
      </c>
      <c r="F6" s="2">
        <v>685</v>
      </c>
      <c r="G6" s="2">
        <f>0.35*F6</f>
        <v>239.74999999999997</v>
      </c>
      <c r="H6" s="2">
        <v>1</v>
      </c>
      <c r="I6" s="2" t="s">
        <v>3</v>
      </c>
    </row>
    <row r="7" spans="1:9" x14ac:dyDescent="0.2">
      <c r="A7" s="2" t="s">
        <v>125</v>
      </c>
      <c r="B7" s="2" t="s">
        <v>4</v>
      </c>
      <c r="C7" s="2">
        <v>4</v>
      </c>
      <c r="D7" s="2">
        <f>4.707*F7</f>
        <v>3389.04</v>
      </c>
      <c r="E7" s="2">
        <v>49.46</v>
      </c>
      <c r="F7" s="2">
        <v>720</v>
      </c>
      <c r="G7" s="2">
        <f>0.35*F7</f>
        <v>251.99999999999997</v>
      </c>
      <c r="H7" s="2">
        <v>1</v>
      </c>
      <c r="I7" s="2" t="s">
        <v>3</v>
      </c>
    </row>
    <row r="8" spans="1:9" x14ac:dyDescent="0.2">
      <c r="A8" s="2" t="s">
        <v>126</v>
      </c>
      <c r="B8" s="2" t="s">
        <v>5</v>
      </c>
      <c r="C8" s="2">
        <v>2</v>
      </c>
      <c r="D8" s="2">
        <f>4.707*F8</f>
        <v>3106.62</v>
      </c>
      <c r="E8" s="2">
        <v>49.46</v>
      </c>
      <c r="F8" s="2">
        <v>660</v>
      </c>
      <c r="G8" s="2">
        <f>0.35*F8</f>
        <v>230.99999999999997</v>
      </c>
      <c r="H8" s="2">
        <v>1</v>
      </c>
      <c r="I8" s="2" t="s">
        <v>3</v>
      </c>
    </row>
    <row r="9" spans="1:9" x14ac:dyDescent="0.2">
      <c r="A9" s="2" t="s">
        <v>138</v>
      </c>
      <c r="B9" s="2" t="s">
        <v>5</v>
      </c>
      <c r="C9" s="2">
        <v>4</v>
      </c>
      <c r="D9" s="2">
        <f>3.082*F9</f>
        <v>557.84199999999998</v>
      </c>
      <c r="E9" s="2">
        <v>208.96</v>
      </c>
      <c r="F9" s="2">
        <v>181</v>
      </c>
      <c r="G9" s="2">
        <f>0.38*F9</f>
        <v>68.78</v>
      </c>
      <c r="H9" s="2">
        <v>1</v>
      </c>
      <c r="I9" s="2" t="s">
        <v>6</v>
      </c>
    </row>
    <row r="10" spans="1:9" x14ac:dyDescent="0.2">
      <c r="A10" s="2" t="s">
        <v>123</v>
      </c>
      <c r="B10" s="2" t="s">
        <v>7</v>
      </c>
      <c r="C10" s="2">
        <v>2</v>
      </c>
      <c r="D10" s="2">
        <f>4.707*F10</f>
        <v>3436.1099999999997</v>
      </c>
      <c r="E10" s="2">
        <v>49.46</v>
      </c>
      <c r="F10" s="2">
        <v>730</v>
      </c>
      <c r="G10" s="2">
        <f>0.35*F10</f>
        <v>255.49999999999997</v>
      </c>
      <c r="H10" s="2">
        <v>1</v>
      </c>
      <c r="I10" s="2" t="s">
        <v>3</v>
      </c>
    </row>
    <row r="11" spans="1:9" x14ac:dyDescent="0.2">
      <c r="A11" s="2" t="s">
        <v>155</v>
      </c>
      <c r="B11" s="2" t="s">
        <v>23</v>
      </c>
      <c r="C11" s="2">
        <v>1</v>
      </c>
      <c r="D11" s="2">
        <v>0</v>
      </c>
      <c r="E11" s="2">
        <v>0</v>
      </c>
      <c r="F11" s="2">
        <v>1177</v>
      </c>
      <c r="G11" s="2">
        <v>0</v>
      </c>
      <c r="H11" s="2">
        <v>2</v>
      </c>
      <c r="I11" s="2" t="s">
        <v>154</v>
      </c>
    </row>
    <row r="12" spans="1:9" x14ac:dyDescent="0.2">
      <c r="A12" s="2" t="s">
        <v>112</v>
      </c>
      <c r="B12" s="2" t="s">
        <v>23</v>
      </c>
      <c r="C12" s="2">
        <v>1</v>
      </c>
      <c r="D12" s="2">
        <v>0</v>
      </c>
      <c r="E12" s="2">
        <v>0</v>
      </c>
      <c r="F12" s="2">
        <v>445</v>
      </c>
      <c r="G12" s="2">
        <v>0</v>
      </c>
      <c r="H12" s="2">
        <v>2</v>
      </c>
      <c r="I12" s="2" t="s">
        <v>110</v>
      </c>
    </row>
    <row r="13" spans="1:9" x14ac:dyDescent="0.2">
      <c r="A13" s="2" t="s">
        <v>105</v>
      </c>
      <c r="B13" s="2" t="s">
        <v>24</v>
      </c>
      <c r="C13" s="2">
        <v>1</v>
      </c>
      <c r="D13" s="2">
        <v>0</v>
      </c>
      <c r="E13" s="2">
        <v>0</v>
      </c>
      <c r="F13" s="2">
        <v>2170</v>
      </c>
      <c r="G13" s="2">
        <v>0</v>
      </c>
      <c r="H13" s="2">
        <v>2</v>
      </c>
      <c r="I13" s="2" t="s">
        <v>154</v>
      </c>
    </row>
    <row r="14" spans="1:9" x14ac:dyDescent="0.2">
      <c r="A14" s="2" t="s">
        <v>156</v>
      </c>
      <c r="B14" s="2" t="s">
        <v>24</v>
      </c>
      <c r="C14" s="2">
        <v>1</v>
      </c>
      <c r="D14" s="2">
        <f>3.082*F14</f>
        <v>2376.2219999999998</v>
      </c>
      <c r="E14" s="2">
        <v>208.96</v>
      </c>
      <c r="F14" s="2">
        <v>771</v>
      </c>
      <c r="G14" s="2">
        <f>0.38*F14</f>
        <v>292.98</v>
      </c>
      <c r="H14" s="2">
        <v>1</v>
      </c>
      <c r="I14" s="2" t="s">
        <v>6</v>
      </c>
    </row>
    <row r="15" spans="1:9" x14ac:dyDescent="0.2">
      <c r="A15" s="2" t="s">
        <v>111</v>
      </c>
      <c r="B15" s="2" t="s">
        <v>24</v>
      </c>
      <c r="C15" s="2">
        <v>1</v>
      </c>
      <c r="D15" s="2">
        <v>0</v>
      </c>
      <c r="E15" s="2">
        <v>0</v>
      </c>
      <c r="F15" s="2">
        <v>255</v>
      </c>
      <c r="G15" s="2">
        <v>0</v>
      </c>
      <c r="H15" s="2">
        <v>2</v>
      </c>
      <c r="I15" s="2" t="s">
        <v>110</v>
      </c>
    </row>
    <row r="16" spans="1:9" x14ac:dyDescent="0.2">
      <c r="A16" s="2" t="s">
        <v>157</v>
      </c>
      <c r="B16" s="2" t="s">
        <v>33</v>
      </c>
      <c r="C16" s="2">
        <v>1</v>
      </c>
      <c r="D16" s="2">
        <f>3.082*F16</f>
        <v>388.33199999999999</v>
      </c>
      <c r="E16" s="2">
        <v>208.96</v>
      </c>
      <c r="F16" s="2">
        <v>126</v>
      </c>
      <c r="G16" s="2">
        <f>0.38*F16</f>
        <v>47.88</v>
      </c>
      <c r="H16" s="2">
        <v>1</v>
      </c>
      <c r="I16" s="2" t="s">
        <v>6</v>
      </c>
    </row>
    <row r="17" spans="1:9" x14ac:dyDescent="0.2">
      <c r="A17" s="2" t="s">
        <v>147</v>
      </c>
      <c r="B17" s="2" t="s">
        <v>37</v>
      </c>
      <c r="C17" s="2">
        <v>1</v>
      </c>
      <c r="D17" s="2">
        <f>8.333*F17</f>
        <v>3333.2000000000003</v>
      </c>
      <c r="E17" s="2">
        <v>126.14</v>
      </c>
      <c r="F17" s="2">
        <v>400</v>
      </c>
      <c r="G17" s="2">
        <f>0.38*F17</f>
        <v>152</v>
      </c>
      <c r="H17" s="2">
        <v>1</v>
      </c>
      <c r="I17" s="2" t="s">
        <v>13</v>
      </c>
    </row>
    <row r="18" spans="1:9" x14ac:dyDescent="0.2">
      <c r="A18" s="2" t="s">
        <v>148</v>
      </c>
      <c r="B18" s="2" t="s">
        <v>37</v>
      </c>
      <c r="C18" s="2">
        <v>1</v>
      </c>
      <c r="D18" s="2">
        <f>3.082*F18</f>
        <v>986.24</v>
      </c>
      <c r="E18" s="2">
        <v>208.96</v>
      </c>
      <c r="F18" s="2">
        <v>320</v>
      </c>
      <c r="G18" s="2">
        <f>0.38*F18</f>
        <v>121.6</v>
      </c>
      <c r="H18" s="2">
        <v>1</v>
      </c>
      <c r="I18" s="2" t="s">
        <v>6</v>
      </c>
    </row>
    <row r="19" spans="1:9" x14ac:dyDescent="0.2">
      <c r="A19" s="2" t="s">
        <v>158</v>
      </c>
      <c r="B19" s="2" t="s">
        <v>37</v>
      </c>
      <c r="C19" s="2">
        <v>1</v>
      </c>
      <c r="D19" s="2">
        <f>12.205*F19</f>
        <v>3014.6350000000002</v>
      </c>
      <c r="E19" s="2">
        <v>8.99</v>
      </c>
      <c r="F19" s="2">
        <v>247</v>
      </c>
      <c r="G19" s="2">
        <v>0</v>
      </c>
      <c r="H19" s="2">
        <v>1</v>
      </c>
      <c r="I19" s="2" t="s">
        <v>1</v>
      </c>
    </row>
    <row r="20" spans="1:9" x14ac:dyDescent="0.2">
      <c r="A20" s="2" t="s">
        <v>159</v>
      </c>
      <c r="B20" s="2" t="s">
        <v>38</v>
      </c>
      <c r="C20" s="2">
        <v>1</v>
      </c>
      <c r="D20" s="2">
        <v>0</v>
      </c>
      <c r="E20" s="2">
        <v>0</v>
      </c>
      <c r="F20" s="2">
        <v>688</v>
      </c>
      <c r="G20" s="2">
        <v>0</v>
      </c>
      <c r="H20" s="2">
        <v>2</v>
      </c>
      <c r="I20" s="2" t="s">
        <v>154</v>
      </c>
    </row>
    <row r="21" spans="1:9" x14ac:dyDescent="0.2">
      <c r="A21" s="2" t="s">
        <v>160</v>
      </c>
      <c r="B21" s="2" t="s">
        <v>38</v>
      </c>
      <c r="C21" s="2">
        <v>1</v>
      </c>
      <c r="D21" s="2">
        <v>0</v>
      </c>
      <c r="E21" s="2">
        <v>0</v>
      </c>
      <c r="F21" s="2">
        <v>451</v>
      </c>
      <c r="G21" s="2">
        <v>0</v>
      </c>
      <c r="H21" s="2">
        <v>2</v>
      </c>
      <c r="I21" s="2" t="s">
        <v>110</v>
      </c>
    </row>
    <row r="22" spans="1:9" x14ac:dyDescent="0.2">
      <c r="A22" s="2" t="s">
        <v>161</v>
      </c>
      <c r="B22" s="2" t="s">
        <v>39</v>
      </c>
      <c r="C22" s="2">
        <v>1</v>
      </c>
      <c r="D22" s="2">
        <v>0</v>
      </c>
      <c r="E22" s="2">
        <v>0</v>
      </c>
      <c r="F22" s="2">
        <v>10</v>
      </c>
      <c r="G22" s="2">
        <v>0</v>
      </c>
      <c r="H22" s="2">
        <v>2</v>
      </c>
      <c r="I22" s="2" t="s">
        <v>154</v>
      </c>
    </row>
    <row r="23" spans="1:9" x14ac:dyDescent="0.2">
      <c r="A23" s="2" t="s">
        <v>109</v>
      </c>
      <c r="B23" s="2" t="s">
        <v>39</v>
      </c>
      <c r="C23" s="2">
        <v>1</v>
      </c>
      <c r="D23" s="2">
        <v>0</v>
      </c>
      <c r="E23" s="2">
        <v>0</v>
      </c>
      <c r="F23" s="2">
        <v>1562</v>
      </c>
      <c r="G23" s="2">
        <v>0</v>
      </c>
      <c r="H23" s="2">
        <v>2</v>
      </c>
      <c r="I23" s="2" t="s">
        <v>110</v>
      </c>
    </row>
    <row r="24" spans="1:9" x14ac:dyDescent="0.2">
      <c r="A24" s="2" t="s">
        <v>162</v>
      </c>
      <c r="B24" s="2" t="s">
        <v>40</v>
      </c>
      <c r="C24" s="2">
        <v>1</v>
      </c>
      <c r="D24" s="2">
        <v>0</v>
      </c>
      <c r="E24" s="2">
        <v>0</v>
      </c>
      <c r="F24" s="2">
        <v>1025</v>
      </c>
      <c r="G24" s="2">
        <v>0</v>
      </c>
      <c r="H24" s="2">
        <v>2</v>
      </c>
      <c r="I24" s="2" t="s">
        <v>154</v>
      </c>
    </row>
    <row r="25" spans="1:9" x14ac:dyDescent="0.2">
      <c r="A25" s="2" t="s">
        <v>163</v>
      </c>
      <c r="B25" s="2" t="s">
        <v>40</v>
      </c>
      <c r="C25" s="2">
        <v>1</v>
      </c>
      <c r="D25" s="2">
        <f>12.205*F25</f>
        <v>1708.7</v>
      </c>
      <c r="E25" s="2">
        <v>8.99</v>
      </c>
      <c r="F25" s="2">
        <v>140</v>
      </c>
      <c r="G25" s="2">
        <v>0</v>
      </c>
      <c r="H25" s="2">
        <v>1</v>
      </c>
      <c r="I25" s="2" t="s">
        <v>1</v>
      </c>
    </row>
    <row r="26" spans="1:9" x14ac:dyDescent="0.2">
      <c r="A26" s="2" t="s">
        <v>143</v>
      </c>
      <c r="B26" s="2" t="s">
        <v>40</v>
      </c>
      <c r="C26" s="2">
        <v>2</v>
      </c>
      <c r="D26" s="2">
        <f>3.082*F26</f>
        <v>533.18599999999992</v>
      </c>
      <c r="E26" s="2">
        <v>208.96</v>
      </c>
      <c r="F26" s="2">
        <v>173</v>
      </c>
      <c r="G26" s="2">
        <f>0.38*F26</f>
        <v>65.739999999999995</v>
      </c>
      <c r="H26" s="2">
        <v>1</v>
      </c>
      <c r="I26" s="2" t="s">
        <v>6</v>
      </c>
    </row>
    <row r="27" spans="1:9" x14ac:dyDescent="0.2">
      <c r="A27" s="2" t="s">
        <v>164</v>
      </c>
      <c r="B27" s="2" t="s">
        <v>40</v>
      </c>
      <c r="C27" s="2">
        <v>6</v>
      </c>
      <c r="D27" s="2">
        <f>12.205*F27</f>
        <v>4479.2349999999997</v>
      </c>
      <c r="E27" s="2">
        <v>8.99</v>
      </c>
      <c r="F27" s="2">
        <v>367</v>
      </c>
      <c r="G27" s="2">
        <v>0</v>
      </c>
      <c r="H27" s="2">
        <v>1</v>
      </c>
      <c r="I27" s="2" t="s">
        <v>1</v>
      </c>
    </row>
    <row r="28" spans="1:9" x14ac:dyDescent="0.2">
      <c r="A28" s="2" t="s">
        <v>165</v>
      </c>
      <c r="B28" s="2" t="s">
        <v>40</v>
      </c>
      <c r="C28" s="2">
        <v>5</v>
      </c>
      <c r="D28" s="2">
        <f>12.205*F28</f>
        <v>3051.25</v>
      </c>
      <c r="E28" s="2">
        <v>8.99</v>
      </c>
      <c r="F28" s="2">
        <v>250</v>
      </c>
      <c r="G28" s="2">
        <v>0</v>
      </c>
      <c r="H28" s="2">
        <v>1</v>
      </c>
      <c r="I28" s="2" t="s">
        <v>1</v>
      </c>
    </row>
    <row r="29" spans="1:9" x14ac:dyDescent="0.2">
      <c r="A29" s="2" t="s">
        <v>166</v>
      </c>
      <c r="B29" s="2" t="s">
        <v>40</v>
      </c>
      <c r="C29" s="2">
        <v>8</v>
      </c>
      <c r="D29" s="2">
        <f>12.205*F29</f>
        <v>1000.8100000000001</v>
      </c>
      <c r="E29" s="2">
        <v>8.99</v>
      </c>
      <c r="F29" s="2">
        <v>82</v>
      </c>
      <c r="G29" s="2">
        <v>0</v>
      </c>
      <c r="H29" s="2">
        <v>1</v>
      </c>
      <c r="I29" s="2" t="s">
        <v>1</v>
      </c>
    </row>
    <row r="30" spans="1:9" x14ac:dyDescent="0.2">
      <c r="A30" s="2" t="s">
        <v>134</v>
      </c>
      <c r="B30" s="2" t="s">
        <v>8</v>
      </c>
      <c r="C30" s="2">
        <v>4</v>
      </c>
      <c r="D30" s="2">
        <f>4.707*F30*0.8</f>
        <v>2108.7360000000003</v>
      </c>
      <c r="E30" s="2">
        <f>49.46*0.8</f>
        <v>39.568000000000005</v>
      </c>
      <c r="F30" s="2">
        <v>560</v>
      </c>
      <c r="G30" s="2">
        <f>0.35*F30</f>
        <v>196</v>
      </c>
      <c r="H30" s="2">
        <v>1</v>
      </c>
      <c r="I30" s="2" t="s">
        <v>9</v>
      </c>
    </row>
    <row r="31" spans="1:9" x14ac:dyDescent="0.2">
      <c r="A31" s="2" t="s">
        <v>135</v>
      </c>
      <c r="B31" s="2" t="s">
        <v>8</v>
      </c>
      <c r="C31" s="2">
        <v>2</v>
      </c>
      <c r="D31" s="2">
        <f>4.707*F31*0.8</f>
        <v>2184.0480000000002</v>
      </c>
      <c r="E31" s="2">
        <f>49.46*0.8</f>
        <v>39.568000000000005</v>
      </c>
      <c r="F31" s="2">
        <v>580</v>
      </c>
      <c r="G31" s="2">
        <f>0.35*F31</f>
        <v>203</v>
      </c>
      <c r="H31" s="2">
        <v>1</v>
      </c>
      <c r="I31" s="2" t="s">
        <v>9</v>
      </c>
    </row>
    <row r="32" spans="1:9" x14ac:dyDescent="0.2">
      <c r="A32" s="2" t="s">
        <v>139</v>
      </c>
      <c r="B32" s="2" t="s">
        <v>8</v>
      </c>
      <c r="C32" s="2">
        <v>2</v>
      </c>
      <c r="D32" s="2">
        <f>3.082*F32</f>
        <v>144.85399999999998</v>
      </c>
      <c r="E32" s="2">
        <v>208.96</v>
      </c>
      <c r="F32" s="2">
        <v>47</v>
      </c>
      <c r="G32" s="2">
        <f>0.38*F32</f>
        <v>17.86</v>
      </c>
      <c r="H32" s="2">
        <v>1</v>
      </c>
      <c r="I32" s="2" t="s">
        <v>6</v>
      </c>
    </row>
    <row r="33" spans="1:9" x14ac:dyDescent="0.2">
      <c r="A33" s="2" t="s">
        <v>167</v>
      </c>
      <c r="B33" s="2" t="s">
        <v>8</v>
      </c>
      <c r="C33" s="2">
        <v>4</v>
      </c>
      <c r="D33" s="2">
        <f>3.082*F33</f>
        <v>163.346</v>
      </c>
      <c r="E33" s="2">
        <v>208.96</v>
      </c>
      <c r="F33" s="2">
        <v>53</v>
      </c>
      <c r="G33" s="2">
        <f>0.38*F33</f>
        <v>20.14</v>
      </c>
      <c r="H33" s="2">
        <v>1</v>
      </c>
      <c r="I33" s="2" t="s">
        <v>6</v>
      </c>
    </row>
    <row r="34" spans="1:9" x14ac:dyDescent="0.2">
      <c r="A34" s="2" t="s">
        <v>136</v>
      </c>
      <c r="B34" s="2" t="s">
        <v>10</v>
      </c>
      <c r="C34" s="2">
        <v>4</v>
      </c>
      <c r="D34" s="2">
        <f>4.707*F34*0.8</f>
        <v>1317.96</v>
      </c>
      <c r="E34" s="2">
        <f>49.46*0.8</f>
        <v>39.568000000000005</v>
      </c>
      <c r="F34" s="2">
        <v>350</v>
      </c>
      <c r="G34" s="2">
        <f>0.35*F34</f>
        <v>122.49999999999999</v>
      </c>
      <c r="H34" s="2">
        <v>1</v>
      </c>
      <c r="I34" s="2" t="s">
        <v>9</v>
      </c>
    </row>
    <row r="35" spans="1:9" x14ac:dyDescent="0.2">
      <c r="A35" s="2" t="s">
        <v>168</v>
      </c>
      <c r="B35" s="2" t="s">
        <v>43</v>
      </c>
      <c r="C35" s="2">
        <v>6</v>
      </c>
      <c r="D35" s="2">
        <f>3.082*F35</f>
        <v>154.1</v>
      </c>
      <c r="E35" s="2">
        <v>208.96</v>
      </c>
      <c r="F35" s="2">
        <v>50</v>
      </c>
      <c r="G35" s="2">
        <f>0.38*F35</f>
        <v>19</v>
      </c>
      <c r="H35" s="2">
        <v>1</v>
      </c>
      <c r="I35" s="2" t="s">
        <v>6</v>
      </c>
    </row>
    <row r="36" spans="1:9" x14ac:dyDescent="0.2">
      <c r="A36" s="2" t="s">
        <v>149</v>
      </c>
      <c r="B36" s="2" t="s">
        <v>44</v>
      </c>
      <c r="C36" s="2">
        <v>1</v>
      </c>
      <c r="D36" s="2">
        <f>12.205*F36</f>
        <v>1177.7825</v>
      </c>
      <c r="E36" s="2">
        <v>8.99</v>
      </c>
      <c r="F36" s="2">
        <v>96.5</v>
      </c>
      <c r="G36" s="2">
        <v>0</v>
      </c>
      <c r="H36" s="2">
        <v>1</v>
      </c>
      <c r="I36" s="2" t="s">
        <v>1</v>
      </c>
    </row>
    <row r="37" spans="1:9" x14ac:dyDescent="0.2">
      <c r="A37" s="2" t="s">
        <v>174</v>
      </c>
      <c r="B37" s="2" t="s">
        <v>46</v>
      </c>
      <c r="C37" s="2">
        <v>1</v>
      </c>
      <c r="D37" s="2">
        <v>0</v>
      </c>
      <c r="E37" s="2">
        <v>0</v>
      </c>
      <c r="F37" s="2">
        <v>100</v>
      </c>
      <c r="G37" s="2">
        <v>0</v>
      </c>
      <c r="H37" s="2">
        <v>2</v>
      </c>
      <c r="I37" s="2" t="s">
        <v>154</v>
      </c>
    </row>
    <row r="38" spans="1:9" x14ac:dyDescent="0.2">
      <c r="A38" s="2" t="s">
        <v>169</v>
      </c>
      <c r="B38" s="2" t="s">
        <v>46</v>
      </c>
      <c r="C38" s="2">
        <v>1</v>
      </c>
      <c r="D38" s="2">
        <v>0</v>
      </c>
      <c r="E38" s="2">
        <v>0</v>
      </c>
      <c r="F38" s="2">
        <v>915</v>
      </c>
      <c r="G38" s="2">
        <v>0</v>
      </c>
      <c r="H38" s="2">
        <v>2</v>
      </c>
      <c r="I38" s="2" t="s">
        <v>110</v>
      </c>
    </row>
    <row r="39" spans="1:9" x14ac:dyDescent="0.2">
      <c r="A39" s="2" t="s">
        <v>170</v>
      </c>
      <c r="B39" s="2" t="s">
        <v>47</v>
      </c>
      <c r="C39" s="2">
        <v>1</v>
      </c>
      <c r="D39" s="2">
        <v>0</v>
      </c>
      <c r="E39" s="2">
        <v>0</v>
      </c>
      <c r="F39" s="2">
        <v>998</v>
      </c>
      <c r="G39" s="2">
        <v>0</v>
      </c>
      <c r="H39" s="2">
        <v>2</v>
      </c>
      <c r="I39" s="2" t="s">
        <v>110</v>
      </c>
    </row>
    <row r="40" spans="1:9" x14ac:dyDescent="0.2">
      <c r="A40" s="2" t="s">
        <v>171</v>
      </c>
      <c r="B40" s="2" t="s">
        <v>48</v>
      </c>
      <c r="C40" s="2">
        <v>1</v>
      </c>
      <c r="D40" s="2">
        <v>0</v>
      </c>
      <c r="E40" s="2">
        <v>0</v>
      </c>
      <c r="F40" s="2">
        <v>1300</v>
      </c>
      <c r="G40" s="2">
        <v>0</v>
      </c>
      <c r="H40" s="2">
        <v>2</v>
      </c>
      <c r="I40" s="2" t="s">
        <v>110</v>
      </c>
    </row>
    <row r="41" spans="1:9" x14ac:dyDescent="0.2">
      <c r="A41" s="2" t="s">
        <v>144</v>
      </c>
      <c r="B41" s="2" t="s">
        <v>49</v>
      </c>
      <c r="C41" s="2">
        <v>2</v>
      </c>
      <c r="D41" s="2">
        <f>3.082*F41</f>
        <v>899.94399999999996</v>
      </c>
      <c r="E41" s="2">
        <v>208.96</v>
      </c>
      <c r="F41" s="2">
        <v>292</v>
      </c>
      <c r="G41" s="2">
        <f>0.38*F41</f>
        <v>110.96000000000001</v>
      </c>
      <c r="H41" s="2">
        <v>1</v>
      </c>
      <c r="I41" s="2" t="s">
        <v>6</v>
      </c>
    </row>
    <row r="42" spans="1:9" x14ac:dyDescent="0.2">
      <c r="A42" s="2" t="s">
        <v>172</v>
      </c>
      <c r="B42" s="2" t="s">
        <v>49</v>
      </c>
      <c r="C42" s="2">
        <v>1</v>
      </c>
      <c r="D42" s="2">
        <v>0</v>
      </c>
      <c r="E42" s="2">
        <v>0</v>
      </c>
      <c r="F42" s="2">
        <v>917</v>
      </c>
      <c r="G42" s="2">
        <v>0</v>
      </c>
      <c r="H42" s="2">
        <v>2</v>
      </c>
      <c r="I42" s="2" t="s">
        <v>110</v>
      </c>
    </row>
    <row r="43" spans="1:9" x14ac:dyDescent="0.2">
      <c r="A43" s="2" t="s">
        <v>173</v>
      </c>
      <c r="B43" s="2" t="s">
        <v>50</v>
      </c>
      <c r="C43" s="2">
        <v>1</v>
      </c>
      <c r="D43" s="2">
        <v>0</v>
      </c>
      <c r="E43" s="2">
        <v>0</v>
      </c>
      <c r="F43" s="2">
        <v>788</v>
      </c>
      <c r="G43" s="2">
        <v>0</v>
      </c>
      <c r="H43" s="2">
        <v>2</v>
      </c>
      <c r="I43" s="2" t="s">
        <v>154</v>
      </c>
    </row>
    <row r="44" spans="1:9" x14ac:dyDescent="0.2">
      <c r="A44" s="2" t="s">
        <v>172</v>
      </c>
      <c r="B44" s="2" t="s">
        <v>50</v>
      </c>
      <c r="C44" s="2">
        <v>1</v>
      </c>
      <c r="D44" s="2">
        <v>0</v>
      </c>
      <c r="E44" s="2">
        <v>0</v>
      </c>
      <c r="F44" s="2">
        <v>58</v>
      </c>
      <c r="G44" s="2">
        <v>0</v>
      </c>
      <c r="H44" s="2">
        <v>2</v>
      </c>
      <c r="I44" s="2" t="s">
        <v>110</v>
      </c>
    </row>
    <row r="45" spans="1:9" x14ac:dyDescent="0.2">
      <c r="A45" s="2" t="s">
        <v>175</v>
      </c>
      <c r="B45" s="2" t="s">
        <v>54</v>
      </c>
      <c r="C45" s="2">
        <v>1</v>
      </c>
      <c r="D45" s="2">
        <v>0</v>
      </c>
      <c r="E45" s="2">
        <v>0</v>
      </c>
      <c r="F45" s="2">
        <v>107</v>
      </c>
      <c r="G45" s="2">
        <v>0</v>
      </c>
      <c r="H45" s="2">
        <v>2</v>
      </c>
      <c r="I45" s="2" t="s">
        <v>110</v>
      </c>
    </row>
    <row r="46" spans="1:9" x14ac:dyDescent="0.2">
      <c r="A46" s="2" t="s">
        <v>146</v>
      </c>
      <c r="B46" s="2" t="s">
        <v>55</v>
      </c>
      <c r="C46" s="2">
        <v>1</v>
      </c>
      <c r="D46" s="2">
        <f>3.082*F46</f>
        <v>1541</v>
      </c>
      <c r="E46" s="2">
        <v>208.96</v>
      </c>
      <c r="F46" s="2">
        <v>500</v>
      </c>
      <c r="G46" s="2">
        <f>0.38*F46</f>
        <v>190</v>
      </c>
      <c r="H46" s="2">
        <v>1</v>
      </c>
      <c r="I46" s="2" t="s">
        <v>6</v>
      </c>
    </row>
    <row r="47" spans="1:9" x14ac:dyDescent="0.2">
      <c r="A47" s="2" t="s">
        <v>176</v>
      </c>
      <c r="B47" s="2" t="s">
        <v>55</v>
      </c>
      <c r="C47" s="2">
        <v>2</v>
      </c>
      <c r="D47" s="2">
        <f>3.082*F47</f>
        <v>480.79199999999997</v>
      </c>
      <c r="E47" s="2">
        <v>208.96</v>
      </c>
      <c r="F47" s="2">
        <v>156</v>
      </c>
      <c r="G47" s="2">
        <f>0.38*F47</f>
        <v>59.28</v>
      </c>
      <c r="H47" s="2">
        <v>1</v>
      </c>
      <c r="I47" s="2" t="s">
        <v>6</v>
      </c>
    </row>
    <row r="48" spans="1:9" x14ac:dyDescent="0.2">
      <c r="A48" s="2" t="s">
        <v>177</v>
      </c>
      <c r="B48" s="2" t="s">
        <v>55</v>
      </c>
      <c r="C48" s="2">
        <v>4</v>
      </c>
      <c r="D48" s="2">
        <f>3.082*F48</f>
        <v>130.98499999999999</v>
      </c>
      <c r="E48" s="2">
        <v>208.96</v>
      </c>
      <c r="F48" s="2">
        <v>42.5</v>
      </c>
      <c r="G48" s="2">
        <f>0.38*F48</f>
        <v>16.149999999999999</v>
      </c>
      <c r="H48" s="2">
        <v>1</v>
      </c>
      <c r="I48" s="2" t="s">
        <v>6</v>
      </c>
    </row>
    <row r="49" spans="1:9" x14ac:dyDescent="0.2">
      <c r="A49" s="2" t="s">
        <v>178</v>
      </c>
      <c r="B49" s="2" t="s">
        <v>56</v>
      </c>
      <c r="C49" s="2">
        <v>1</v>
      </c>
      <c r="D49" s="2">
        <v>0</v>
      </c>
      <c r="E49" s="2">
        <v>0</v>
      </c>
      <c r="F49" s="2">
        <v>1069</v>
      </c>
      <c r="G49" s="2">
        <v>0</v>
      </c>
      <c r="H49" s="2">
        <v>2</v>
      </c>
      <c r="I49" s="2" t="s">
        <v>110</v>
      </c>
    </row>
    <row r="50" spans="1:9" x14ac:dyDescent="0.2">
      <c r="A50" s="2" t="s">
        <v>179</v>
      </c>
      <c r="B50" s="2" t="s">
        <v>11</v>
      </c>
      <c r="C50" s="2">
        <v>1</v>
      </c>
      <c r="D50" s="2">
        <f>8.333*F50</f>
        <v>2333.2400000000002</v>
      </c>
      <c r="E50" s="2">
        <v>126.14</v>
      </c>
      <c r="F50" s="2">
        <v>280</v>
      </c>
      <c r="G50" s="2">
        <f>0.38*F50</f>
        <v>106.4</v>
      </c>
      <c r="H50" s="2">
        <v>1</v>
      </c>
      <c r="I50" s="2" t="s">
        <v>13</v>
      </c>
    </row>
    <row r="51" spans="1:9" x14ac:dyDescent="0.2">
      <c r="A51" s="2" t="s">
        <v>180</v>
      </c>
      <c r="B51" s="2" t="s">
        <v>11</v>
      </c>
      <c r="C51" s="2">
        <v>3</v>
      </c>
      <c r="D51" s="2">
        <f>8.333*F51</f>
        <v>1012.4595</v>
      </c>
      <c r="E51" s="2">
        <v>126.14</v>
      </c>
      <c r="F51" s="2">
        <v>121.5</v>
      </c>
      <c r="G51" s="2">
        <f>0.38*F51</f>
        <v>46.17</v>
      </c>
      <c r="H51" s="2">
        <v>1</v>
      </c>
      <c r="I51" s="2" t="s">
        <v>13</v>
      </c>
    </row>
    <row r="52" spans="1:9" x14ac:dyDescent="0.2">
      <c r="A52" s="2" t="s">
        <v>182</v>
      </c>
      <c r="B52" s="2" t="s">
        <v>11</v>
      </c>
      <c r="C52" s="2">
        <v>1</v>
      </c>
      <c r="D52" s="2">
        <f>8.333*F52</f>
        <v>474.98099999999999</v>
      </c>
      <c r="E52" s="2">
        <v>126.14</v>
      </c>
      <c r="F52" s="2">
        <v>57</v>
      </c>
      <c r="G52" s="2">
        <f>0.38*F52</f>
        <v>21.66</v>
      </c>
      <c r="H52" s="2">
        <v>1</v>
      </c>
      <c r="I52" s="2" t="s">
        <v>13</v>
      </c>
    </row>
    <row r="53" spans="1:9" x14ac:dyDescent="0.2">
      <c r="A53" s="2" t="s">
        <v>181</v>
      </c>
      <c r="B53" s="2" t="s">
        <v>11</v>
      </c>
      <c r="C53" s="2">
        <v>2</v>
      </c>
      <c r="D53" s="2">
        <f>8.333*F53</f>
        <v>366.65199999999999</v>
      </c>
      <c r="E53" s="2">
        <v>126.14</v>
      </c>
      <c r="F53" s="2">
        <v>44</v>
      </c>
      <c r="G53" s="2">
        <f>0.38*F53</f>
        <v>16.72</v>
      </c>
      <c r="H53" s="2">
        <v>1</v>
      </c>
      <c r="I53" s="2" t="s">
        <v>13</v>
      </c>
    </row>
    <row r="54" spans="1:9" x14ac:dyDescent="0.2">
      <c r="A54" s="2" t="s">
        <v>183</v>
      </c>
      <c r="B54" s="2" t="s">
        <v>11</v>
      </c>
      <c r="C54" s="2">
        <v>1</v>
      </c>
      <c r="D54" s="2">
        <v>0</v>
      </c>
      <c r="E54" s="2">
        <v>0</v>
      </c>
      <c r="F54" s="2">
        <v>94</v>
      </c>
      <c r="G54" s="2">
        <v>0</v>
      </c>
      <c r="H54" s="2">
        <v>2</v>
      </c>
      <c r="I54" s="2" t="s">
        <v>154</v>
      </c>
    </row>
    <row r="55" spans="1:9" x14ac:dyDescent="0.2">
      <c r="A55" s="2" t="s">
        <v>127</v>
      </c>
      <c r="B55" s="2" t="s">
        <v>11</v>
      </c>
      <c r="C55" s="2">
        <v>4</v>
      </c>
      <c r="D55" s="2">
        <f>4.707*F55</f>
        <v>1647.45</v>
      </c>
      <c r="E55" s="2">
        <v>49.46</v>
      </c>
      <c r="F55" s="2">
        <v>350</v>
      </c>
      <c r="G55" s="2">
        <f>0.35*F55</f>
        <v>122.49999999999999</v>
      </c>
      <c r="H55" s="2">
        <v>1</v>
      </c>
      <c r="I55" s="2" t="s">
        <v>3</v>
      </c>
    </row>
    <row r="56" spans="1:9" x14ac:dyDescent="0.2">
      <c r="A56" s="2" t="s">
        <v>128</v>
      </c>
      <c r="B56" s="2" t="s">
        <v>11</v>
      </c>
      <c r="C56" s="2">
        <v>1</v>
      </c>
      <c r="D56" s="2">
        <f>4.707*F56</f>
        <v>2118.15</v>
      </c>
      <c r="E56" s="2">
        <v>49.46</v>
      </c>
      <c r="F56" s="2">
        <v>450</v>
      </c>
      <c r="G56" s="2">
        <f>0.35*F56</f>
        <v>157.5</v>
      </c>
      <c r="H56" s="2">
        <v>1</v>
      </c>
      <c r="I56" s="2" t="s">
        <v>3</v>
      </c>
    </row>
    <row r="57" spans="1:9" x14ac:dyDescent="0.2">
      <c r="A57" s="2" t="s">
        <v>145</v>
      </c>
      <c r="B57" s="2" t="s">
        <v>11</v>
      </c>
      <c r="C57" s="2">
        <v>6</v>
      </c>
      <c r="D57" s="2">
        <f>3.082*F57</f>
        <v>554.76</v>
      </c>
      <c r="E57" s="2">
        <v>208.96</v>
      </c>
      <c r="F57" s="2">
        <v>180</v>
      </c>
      <c r="G57" s="2">
        <f>0.38*F57</f>
        <v>68.400000000000006</v>
      </c>
      <c r="H57" s="2">
        <v>1</v>
      </c>
      <c r="I57" s="2" t="s">
        <v>6</v>
      </c>
    </row>
    <row r="58" spans="1:9" x14ac:dyDescent="0.2">
      <c r="A58" s="2" t="s">
        <v>131</v>
      </c>
      <c r="B58" s="2" t="s">
        <v>12</v>
      </c>
      <c r="C58" s="2">
        <v>2</v>
      </c>
      <c r="D58" s="2">
        <f>4.707*F58</f>
        <v>1647.45</v>
      </c>
      <c r="E58" s="2">
        <v>49.46</v>
      </c>
      <c r="F58" s="2">
        <v>350</v>
      </c>
      <c r="G58" s="2">
        <f>0.35*F58</f>
        <v>122.49999999999999</v>
      </c>
      <c r="H58" s="2">
        <v>1</v>
      </c>
      <c r="I58" s="2" t="s">
        <v>3</v>
      </c>
    </row>
    <row r="59" spans="1:9" x14ac:dyDescent="0.2">
      <c r="A59" s="2" t="s">
        <v>132</v>
      </c>
      <c r="B59" s="2" t="s">
        <v>12</v>
      </c>
      <c r="C59" s="2">
        <v>2</v>
      </c>
      <c r="D59" s="2">
        <f>4.707*F59</f>
        <v>1976.9399999999998</v>
      </c>
      <c r="E59" s="2">
        <v>49.46</v>
      </c>
      <c r="F59" s="2">
        <v>420</v>
      </c>
      <c r="G59" s="2">
        <f>0.35*F59</f>
        <v>147</v>
      </c>
      <c r="H59" s="2">
        <v>1</v>
      </c>
      <c r="I59" s="2" t="s">
        <v>3</v>
      </c>
    </row>
    <row r="60" spans="1:9" x14ac:dyDescent="0.2">
      <c r="A60" s="2" t="s">
        <v>133</v>
      </c>
      <c r="B60" s="2" t="s">
        <v>14</v>
      </c>
      <c r="C60" s="2">
        <v>4</v>
      </c>
      <c r="D60" s="2">
        <f>4.707*F60</f>
        <v>1718.0549999999998</v>
      </c>
      <c r="E60" s="2">
        <v>49.46</v>
      </c>
      <c r="F60" s="2">
        <v>365</v>
      </c>
      <c r="G60" s="2">
        <f>0.35*F60</f>
        <v>127.74999999999999</v>
      </c>
      <c r="H60" s="2">
        <v>1</v>
      </c>
      <c r="I60" s="2" t="s">
        <v>3</v>
      </c>
    </row>
    <row r="61" spans="1:9" x14ac:dyDescent="0.2">
      <c r="A61" s="2" t="s">
        <v>140</v>
      </c>
      <c r="B61" s="2" t="s">
        <v>14</v>
      </c>
      <c r="C61" s="2">
        <v>1</v>
      </c>
      <c r="D61" s="2">
        <f>3.082*F61</f>
        <v>114.03399999999999</v>
      </c>
      <c r="E61" s="2">
        <v>208.96</v>
      </c>
      <c r="F61" s="2">
        <v>37</v>
      </c>
      <c r="G61" s="2">
        <f>0.38*F61</f>
        <v>14.06</v>
      </c>
      <c r="H61" s="2">
        <v>1</v>
      </c>
      <c r="I61" s="2" t="s">
        <v>6</v>
      </c>
    </row>
    <row r="62" spans="1:9" x14ac:dyDescent="0.2">
      <c r="A62" s="2" t="s">
        <v>137</v>
      </c>
      <c r="B62" s="2" t="s">
        <v>15</v>
      </c>
      <c r="C62" s="2">
        <v>6</v>
      </c>
      <c r="D62" s="2">
        <f>4.707*F62</f>
        <v>1317.96</v>
      </c>
      <c r="E62" s="2">
        <v>49.46</v>
      </c>
      <c r="F62" s="2">
        <v>280</v>
      </c>
      <c r="G62" s="2">
        <f>0.35*F62</f>
        <v>98</v>
      </c>
      <c r="H62" s="2">
        <v>1</v>
      </c>
      <c r="I62" s="2" t="s">
        <v>3</v>
      </c>
    </row>
    <row r="63" spans="1:9" x14ac:dyDescent="0.2">
      <c r="A63" s="2" t="s">
        <v>106</v>
      </c>
      <c r="B63" s="2" t="s">
        <v>59</v>
      </c>
      <c r="C63" s="2">
        <v>1</v>
      </c>
      <c r="D63" s="2">
        <v>0</v>
      </c>
      <c r="E63" s="2">
        <v>0</v>
      </c>
      <c r="F63" s="2">
        <v>526</v>
      </c>
      <c r="G63" s="2">
        <v>0</v>
      </c>
      <c r="H63" s="2">
        <v>2</v>
      </c>
      <c r="I63" s="2" t="s">
        <v>154</v>
      </c>
    </row>
    <row r="64" spans="1:9" x14ac:dyDescent="0.2">
      <c r="A64" s="2" t="s">
        <v>184</v>
      </c>
      <c r="B64" s="2" t="s">
        <v>59</v>
      </c>
      <c r="C64" s="2">
        <v>1</v>
      </c>
      <c r="D64" s="2">
        <f>8.333*F64</f>
        <v>1499.94</v>
      </c>
      <c r="E64" s="2">
        <v>126.14</v>
      </c>
      <c r="F64" s="2">
        <v>180</v>
      </c>
      <c r="G64" s="2">
        <f>0.38*F64</f>
        <v>68.400000000000006</v>
      </c>
      <c r="H64" s="2">
        <v>1</v>
      </c>
      <c r="I64" s="2" t="s">
        <v>13</v>
      </c>
    </row>
    <row r="65" spans="1:9" x14ac:dyDescent="0.2">
      <c r="A65" s="2" t="s">
        <v>100</v>
      </c>
      <c r="B65" s="2" t="s">
        <v>60</v>
      </c>
      <c r="C65" s="2">
        <v>1</v>
      </c>
      <c r="D65" s="2">
        <f>8.333*F65</f>
        <v>2033.252</v>
      </c>
      <c r="E65" s="2">
        <v>126.14</v>
      </c>
      <c r="F65" s="2">
        <v>244</v>
      </c>
      <c r="G65" s="2">
        <f>0.38*F65</f>
        <v>92.72</v>
      </c>
      <c r="H65" s="2">
        <v>1</v>
      </c>
      <c r="I65" s="2" t="s">
        <v>13</v>
      </c>
    </row>
    <row r="66" spans="1:9" x14ac:dyDescent="0.2">
      <c r="A66" s="2" t="s">
        <v>104</v>
      </c>
      <c r="B66" s="2" t="s">
        <v>60</v>
      </c>
      <c r="C66" s="2">
        <v>1</v>
      </c>
      <c r="D66" s="2">
        <f>12.205*F66</f>
        <v>1916.1849999999999</v>
      </c>
      <c r="E66" s="2">
        <v>8.99</v>
      </c>
      <c r="F66" s="2">
        <v>157</v>
      </c>
      <c r="G66" s="2">
        <v>0</v>
      </c>
      <c r="H66" s="2">
        <v>1</v>
      </c>
      <c r="I66" s="2" t="s">
        <v>1</v>
      </c>
    </row>
    <row r="67" spans="1:9" x14ac:dyDescent="0.2">
      <c r="A67" s="2" t="s">
        <v>107</v>
      </c>
      <c r="B67" s="2" t="s">
        <v>60</v>
      </c>
      <c r="C67" s="2">
        <v>1</v>
      </c>
      <c r="D67" s="2">
        <v>0</v>
      </c>
      <c r="E67" s="2">
        <v>0</v>
      </c>
      <c r="F67" s="2">
        <v>1198</v>
      </c>
      <c r="G67" s="2">
        <v>0</v>
      </c>
      <c r="H67" s="2">
        <v>2</v>
      </c>
      <c r="I67" s="2" t="s">
        <v>154</v>
      </c>
    </row>
    <row r="68" spans="1:9" x14ac:dyDescent="0.2">
      <c r="A68" s="2" t="s">
        <v>185</v>
      </c>
      <c r="B68" s="2" t="s">
        <v>60</v>
      </c>
      <c r="C68" s="2">
        <v>3</v>
      </c>
      <c r="D68" s="2">
        <f>3.082*F68</f>
        <v>449.97199999999998</v>
      </c>
      <c r="E68" s="2">
        <v>208.96</v>
      </c>
      <c r="F68" s="2">
        <v>146</v>
      </c>
      <c r="G68" s="2">
        <f>0.38*F68</f>
        <v>55.480000000000004</v>
      </c>
      <c r="H68" s="2">
        <v>1</v>
      </c>
      <c r="I68" s="2" t="s">
        <v>6</v>
      </c>
    </row>
    <row r="69" spans="1:9" x14ac:dyDescent="0.2">
      <c r="A69" s="2" t="s">
        <v>113</v>
      </c>
      <c r="B69" s="2" t="s">
        <v>60</v>
      </c>
      <c r="C69" s="2">
        <v>1</v>
      </c>
      <c r="D69" s="2">
        <v>0</v>
      </c>
      <c r="E69" s="2">
        <v>0</v>
      </c>
      <c r="F69" s="2">
        <v>381</v>
      </c>
      <c r="G69" s="2">
        <v>0</v>
      </c>
      <c r="H69" s="2">
        <v>2</v>
      </c>
      <c r="I69" s="2" t="s">
        <v>110</v>
      </c>
    </row>
    <row r="70" spans="1:9" x14ac:dyDescent="0.2">
      <c r="A70" s="2" t="s">
        <v>104</v>
      </c>
      <c r="B70" s="2" t="s">
        <v>60</v>
      </c>
      <c r="C70" s="2">
        <v>1</v>
      </c>
      <c r="D70" s="2">
        <f>12.205*F70</f>
        <v>4967.4350000000004</v>
      </c>
      <c r="E70" s="2">
        <v>8.99</v>
      </c>
      <c r="F70" s="2">
        <f>250+157</f>
        <v>407</v>
      </c>
      <c r="G70" s="2">
        <v>0</v>
      </c>
      <c r="H70" s="2">
        <v>1</v>
      </c>
      <c r="I70" s="2" t="s">
        <v>1</v>
      </c>
    </row>
    <row r="71" spans="1:9" x14ac:dyDescent="0.2">
      <c r="A71" s="2" t="s">
        <v>187</v>
      </c>
      <c r="B71" s="2" t="s">
        <v>62</v>
      </c>
      <c r="C71" s="2">
        <v>1</v>
      </c>
      <c r="D71" s="2">
        <v>0</v>
      </c>
      <c r="E71" s="2">
        <v>0</v>
      </c>
      <c r="F71" s="2">
        <v>620</v>
      </c>
      <c r="G71" s="2">
        <v>0</v>
      </c>
      <c r="H71" s="2">
        <v>2</v>
      </c>
      <c r="I71" s="2" t="s">
        <v>154</v>
      </c>
    </row>
    <row r="72" spans="1:9" x14ac:dyDescent="0.2">
      <c r="A72" s="2" t="s">
        <v>186</v>
      </c>
      <c r="B72" s="2" t="s">
        <v>62</v>
      </c>
      <c r="C72" s="2">
        <v>1</v>
      </c>
      <c r="D72" s="2">
        <v>0</v>
      </c>
      <c r="E72" s="2">
        <v>0</v>
      </c>
      <c r="F72" s="2">
        <v>450</v>
      </c>
      <c r="G72" s="2">
        <v>0</v>
      </c>
      <c r="H72" s="2">
        <v>2</v>
      </c>
      <c r="I72" s="2" t="s">
        <v>110</v>
      </c>
    </row>
    <row r="73" spans="1:9" x14ac:dyDescent="0.2">
      <c r="A73" s="2" t="s">
        <v>188</v>
      </c>
      <c r="B73" s="2" t="s">
        <v>65</v>
      </c>
      <c r="C73" s="2">
        <v>1</v>
      </c>
      <c r="D73" s="2">
        <v>0</v>
      </c>
      <c r="E73" s="2">
        <v>0</v>
      </c>
      <c r="F73" s="2">
        <v>99</v>
      </c>
      <c r="G73" s="2">
        <v>0</v>
      </c>
      <c r="H73" s="2">
        <v>2</v>
      </c>
      <c r="I73" s="2" t="s">
        <v>154</v>
      </c>
    </row>
    <row r="74" spans="1:9" x14ac:dyDescent="0.2">
      <c r="A74" s="2" t="s">
        <v>193</v>
      </c>
      <c r="B74" s="2" t="s">
        <v>68</v>
      </c>
      <c r="C74" s="2">
        <v>1</v>
      </c>
      <c r="D74" s="2">
        <v>0</v>
      </c>
      <c r="E74" s="2">
        <v>0</v>
      </c>
      <c r="F74" s="2">
        <v>1389</v>
      </c>
      <c r="G74" s="2">
        <v>0</v>
      </c>
      <c r="H74" s="2">
        <v>2</v>
      </c>
      <c r="I74" s="2" t="s">
        <v>154</v>
      </c>
    </row>
    <row r="75" spans="1:9" x14ac:dyDescent="0.2">
      <c r="A75" s="2" t="s">
        <v>192</v>
      </c>
      <c r="B75" s="2" t="s">
        <v>68</v>
      </c>
      <c r="C75" s="2">
        <v>1</v>
      </c>
      <c r="D75" s="2">
        <v>0</v>
      </c>
      <c r="E75" s="2">
        <v>0</v>
      </c>
      <c r="F75" s="2">
        <v>173</v>
      </c>
      <c r="G75" s="2">
        <v>0</v>
      </c>
      <c r="H75" s="2">
        <v>2</v>
      </c>
      <c r="I75" s="2" t="s">
        <v>110</v>
      </c>
    </row>
    <row r="76" spans="1:9" x14ac:dyDescent="0.2">
      <c r="A76" s="2" t="s">
        <v>189</v>
      </c>
      <c r="B76" s="2" t="s">
        <v>70</v>
      </c>
      <c r="C76" s="2">
        <v>1</v>
      </c>
      <c r="D76" s="2">
        <f>8.333*F76</f>
        <v>3208.2049999999999</v>
      </c>
      <c r="E76" s="2">
        <v>126.14</v>
      </c>
      <c r="F76" s="2">
        <v>385</v>
      </c>
      <c r="G76" s="2">
        <f>0.38*F76</f>
        <v>146.30000000000001</v>
      </c>
      <c r="H76" s="2">
        <v>1</v>
      </c>
      <c r="I76" s="2" t="s">
        <v>13</v>
      </c>
    </row>
    <row r="77" spans="1:9" x14ac:dyDescent="0.2">
      <c r="A77" s="2" t="s">
        <v>190</v>
      </c>
      <c r="B77" s="2" t="s">
        <v>70</v>
      </c>
      <c r="C77" s="2">
        <v>2</v>
      </c>
      <c r="D77" s="2">
        <f>12.205*F77</f>
        <v>3478.4250000000002</v>
      </c>
      <c r="E77" s="2">
        <v>8.99</v>
      </c>
      <c r="F77" s="2">
        <v>285</v>
      </c>
      <c r="G77" s="2">
        <v>0</v>
      </c>
      <c r="H77" s="2">
        <v>1</v>
      </c>
      <c r="I77" s="2" t="s">
        <v>1</v>
      </c>
    </row>
    <row r="78" spans="1:9" x14ac:dyDescent="0.2">
      <c r="A78" s="2" t="s">
        <v>130</v>
      </c>
      <c r="B78" s="2" t="s">
        <v>71</v>
      </c>
      <c r="C78" s="2">
        <v>1</v>
      </c>
      <c r="D78" s="2">
        <f>4.707*F78</f>
        <v>3502.0079999999998</v>
      </c>
      <c r="E78" s="2">
        <v>49.46</v>
      </c>
      <c r="F78" s="2">
        <v>744</v>
      </c>
      <c r="G78" s="2">
        <f>0.35*F78</f>
        <v>260.39999999999998</v>
      </c>
      <c r="H78" s="2">
        <v>1</v>
      </c>
      <c r="I78" s="2" t="s">
        <v>3</v>
      </c>
    </row>
    <row r="79" spans="1:9" x14ac:dyDescent="0.2">
      <c r="A79" s="2" t="s">
        <v>191</v>
      </c>
      <c r="B79" s="2" t="s">
        <v>71</v>
      </c>
      <c r="C79" s="2">
        <v>1</v>
      </c>
      <c r="D79" s="2">
        <v>0</v>
      </c>
      <c r="E79" s="2">
        <v>0</v>
      </c>
      <c r="F79" s="2">
        <v>705</v>
      </c>
      <c r="G79" s="2">
        <v>0</v>
      </c>
      <c r="H79" s="2">
        <v>2</v>
      </c>
      <c r="I79" s="2" t="s">
        <v>110</v>
      </c>
    </row>
    <row r="80" spans="1:9" x14ac:dyDescent="0.2">
      <c r="A80" s="2" t="s">
        <v>194</v>
      </c>
      <c r="B80" s="2" t="s">
        <v>71</v>
      </c>
      <c r="C80" s="2">
        <v>1</v>
      </c>
      <c r="D80" s="2">
        <v>0</v>
      </c>
      <c r="E80" s="2">
        <v>0</v>
      </c>
      <c r="F80" s="2">
        <v>40</v>
      </c>
      <c r="G80" s="2">
        <v>0</v>
      </c>
      <c r="H80" s="2">
        <v>2</v>
      </c>
      <c r="I80" s="2" t="s">
        <v>154</v>
      </c>
    </row>
    <row r="81" spans="1:9" x14ac:dyDescent="0.2">
      <c r="A81" s="2" t="s">
        <v>195</v>
      </c>
      <c r="B81" s="2" t="s">
        <v>71</v>
      </c>
      <c r="C81" s="2">
        <v>2</v>
      </c>
      <c r="D81" s="2">
        <f>3.082*F81</f>
        <v>123.28</v>
      </c>
      <c r="E81" s="2">
        <v>208.96</v>
      </c>
      <c r="F81" s="2">
        <v>40</v>
      </c>
      <c r="G81" s="2">
        <f>0.38*F81</f>
        <v>15.2</v>
      </c>
      <c r="H81" s="2">
        <v>1</v>
      </c>
      <c r="I81" s="2" t="s">
        <v>6</v>
      </c>
    </row>
    <row r="82" spans="1:9" x14ac:dyDescent="0.2">
      <c r="A82" s="2" t="s">
        <v>196</v>
      </c>
      <c r="B82" s="2" t="s">
        <v>72</v>
      </c>
      <c r="C82" s="2">
        <v>2</v>
      </c>
      <c r="D82" s="2">
        <f>3.082*F82</f>
        <v>533.18599999999992</v>
      </c>
      <c r="E82" s="2">
        <v>208.96</v>
      </c>
      <c r="F82" s="2">
        <v>173</v>
      </c>
      <c r="G82" s="2">
        <f>0.38*F82</f>
        <v>65.739999999999995</v>
      </c>
      <c r="H82" s="2">
        <v>1</v>
      </c>
      <c r="I82" s="2" t="s">
        <v>6</v>
      </c>
    </row>
    <row r="83" spans="1:9" x14ac:dyDescent="0.2">
      <c r="A83" s="2" t="s">
        <v>197</v>
      </c>
      <c r="B83" s="2" t="s">
        <v>73</v>
      </c>
      <c r="C83" s="2">
        <v>1</v>
      </c>
      <c r="D83" s="2">
        <v>0</v>
      </c>
      <c r="E83" s="2">
        <v>0</v>
      </c>
      <c r="F83" s="2">
        <v>237</v>
      </c>
      <c r="G83" s="2">
        <v>0</v>
      </c>
      <c r="H83" s="2">
        <v>2</v>
      </c>
      <c r="I83" s="2" t="s">
        <v>154</v>
      </c>
    </row>
    <row r="84" spans="1:9" x14ac:dyDescent="0.2">
      <c r="A84" s="2" t="s">
        <v>129</v>
      </c>
      <c r="B84" s="2" t="s">
        <v>73</v>
      </c>
      <c r="C84" s="2">
        <v>2</v>
      </c>
      <c r="D84" s="2">
        <f>4.707*F84</f>
        <v>2005.182</v>
      </c>
      <c r="E84" s="2">
        <v>49.46</v>
      </c>
      <c r="F84" s="2">
        <v>426</v>
      </c>
      <c r="G84" s="2">
        <f>0.35*F84</f>
        <v>149.1</v>
      </c>
      <c r="H84" s="2">
        <v>1</v>
      </c>
      <c r="I84" s="2" t="s">
        <v>3</v>
      </c>
    </row>
    <row r="85" spans="1:9" x14ac:dyDescent="0.2">
      <c r="A85" s="2" t="s">
        <v>198</v>
      </c>
      <c r="B85" s="2" t="s">
        <v>75</v>
      </c>
      <c r="C85" s="2">
        <v>1</v>
      </c>
      <c r="D85" s="2">
        <v>0</v>
      </c>
      <c r="E85" s="2">
        <v>0</v>
      </c>
      <c r="F85" s="2">
        <v>923</v>
      </c>
      <c r="G85" s="2">
        <v>0</v>
      </c>
      <c r="H85" s="2">
        <v>2</v>
      </c>
      <c r="I85" s="2" t="s">
        <v>110</v>
      </c>
    </row>
    <row r="86" spans="1:9" x14ac:dyDescent="0.2">
      <c r="A86" s="2" t="s">
        <v>199</v>
      </c>
      <c r="B86" s="2" t="s">
        <v>75</v>
      </c>
      <c r="C86" s="2">
        <v>1</v>
      </c>
      <c r="D86" s="2">
        <v>0</v>
      </c>
      <c r="E86" s="2">
        <v>0</v>
      </c>
      <c r="F86" s="2">
        <v>64</v>
      </c>
      <c r="G86" s="2">
        <v>0</v>
      </c>
      <c r="H86" s="2">
        <v>2</v>
      </c>
      <c r="I86" s="2" t="s">
        <v>154</v>
      </c>
    </row>
    <row r="87" spans="1:9" x14ac:dyDescent="0.2">
      <c r="A87" s="2" t="s">
        <v>141</v>
      </c>
      <c r="B87" s="2" t="s">
        <v>17</v>
      </c>
      <c r="C87" s="2">
        <v>4</v>
      </c>
      <c r="D87" s="2">
        <f>3.082*F87</f>
        <v>616.4</v>
      </c>
      <c r="E87" s="2">
        <v>208.96</v>
      </c>
      <c r="F87" s="2">
        <v>200</v>
      </c>
      <c r="G87" s="2">
        <f>0.38*F87</f>
        <v>76</v>
      </c>
      <c r="H87" s="2">
        <v>1</v>
      </c>
      <c r="I87" s="2" t="s">
        <v>6</v>
      </c>
    </row>
    <row r="88" spans="1:9" x14ac:dyDescent="0.2">
      <c r="A88" s="2" t="s">
        <v>142</v>
      </c>
      <c r="B88" s="2" t="s">
        <v>18</v>
      </c>
      <c r="C88" s="2">
        <v>1</v>
      </c>
      <c r="D88" s="2">
        <f>8.333*F88</f>
        <v>1424.943</v>
      </c>
      <c r="E88" s="2">
        <v>126.14</v>
      </c>
      <c r="F88" s="2">
        <v>171</v>
      </c>
      <c r="G88" s="2">
        <f>0.38*F88</f>
        <v>64.98</v>
      </c>
      <c r="H88" s="2">
        <v>1</v>
      </c>
      <c r="I88" s="2" t="s">
        <v>13</v>
      </c>
    </row>
    <row r="89" spans="1:9" x14ac:dyDescent="0.2">
      <c r="A89" s="2" t="s">
        <v>200</v>
      </c>
      <c r="B89" s="2" t="s">
        <v>78</v>
      </c>
      <c r="C89" s="2">
        <v>1</v>
      </c>
      <c r="D89" s="2">
        <v>0</v>
      </c>
      <c r="E89" s="2">
        <v>0</v>
      </c>
      <c r="F89" s="2">
        <v>393</v>
      </c>
      <c r="G89" s="2">
        <v>0</v>
      </c>
      <c r="H89" s="2">
        <v>2</v>
      </c>
      <c r="I89" s="2" t="s">
        <v>154</v>
      </c>
    </row>
    <row r="90" spans="1:9" x14ac:dyDescent="0.2">
      <c r="A90" s="2" t="s">
        <v>201</v>
      </c>
      <c r="B90" s="2" t="s">
        <v>78</v>
      </c>
      <c r="C90" s="2">
        <v>1</v>
      </c>
      <c r="D90" s="2">
        <f>3.082*F90</f>
        <v>853.28251999999998</v>
      </c>
      <c r="E90" s="2">
        <v>208.96</v>
      </c>
      <c r="F90" s="2">
        <v>276.86</v>
      </c>
      <c r="G90" s="2">
        <f>0.38*F90</f>
        <v>105.2068</v>
      </c>
      <c r="H90" s="2">
        <v>1</v>
      </c>
      <c r="I90" s="2" t="s">
        <v>6</v>
      </c>
    </row>
    <row r="91" spans="1:9" x14ac:dyDescent="0.2">
      <c r="A91" s="2" t="s">
        <v>202</v>
      </c>
      <c r="B91" s="2" t="s">
        <v>78</v>
      </c>
      <c r="C91" s="2">
        <v>3</v>
      </c>
      <c r="D91" s="2">
        <f>3.082*F91</f>
        <v>231.14999999999998</v>
      </c>
      <c r="E91" s="2">
        <v>208.96</v>
      </c>
      <c r="F91" s="2">
        <v>75</v>
      </c>
      <c r="G91" s="2">
        <f>0.38*F91</f>
        <v>28.5</v>
      </c>
      <c r="H91" s="2">
        <v>1</v>
      </c>
      <c r="I91" s="2" t="s">
        <v>6</v>
      </c>
    </row>
    <row r="92" spans="1:9" x14ac:dyDescent="0.2">
      <c r="A92" s="2" t="s">
        <v>203</v>
      </c>
      <c r="B92" s="2" t="s">
        <v>78</v>
      </c>
      <c r="C92" s="2">
        <v>1</v>
      </c>
      <c r="D92" s="2">
        <v>0</v>
      </c>
      <c r="E92" s="2">
        <v>0</v>
      </c>
      <c r="F92" s="2">
        <v>2337</v>
      </c>
      <c r="G92" s="2">
        <v>0</v>
      </c>
      <c r="H92" s="2">
        <v>2</v>
      </c>
      <c r="I92" s="2" t="s">
        <v>110</v>
      </c>
    </row>
    <row r="93" spans="1:9" x14ac:dyDescent="0.2">
      <c r="A93" s="2" t="s">
        <v>204</v>
      </c>
      <c r="B93" s="2" t="s">
        <v>82</v>
      </c>
      <c r="C93" s="2">
        <v>1</v>
      </c>
      <c r="D93" s="2">
        <v>0</v>
      </c>
      <c r="E93" s="2">
        <v>0</v>
      </c>
      <c r="F93" s="2">
        <v>91</v>
      </c>
      <c r="G93" s="2">
        <v>0</v>
      </c>
      <c r="H93" s="2">
        <v>2</v>
      </c>
      <c r="I93" s="2" t="s">
        <v>110</v>
      </c>
    </row>
    <row r="94" spans="1:9" x14ac:dyDescent="0.2">
      <c r="A94" s="2" t="s">
        <v>102</v>
      </c>
      <c r="B94" s="2" t="s">
        <v>84</v>
      </c>
      <c r="C94" s="2">
        <v>1</v>
      </c>
      <c r="D94" s="2">
        <f>3.082*F94</f>
        <v>2493.3379999999997</v>
      </c>
      <c r="E94" s="2">
        <v>208.96</v>
      </c>
      <c r="F94" s="2">
        <v>809</v>
      </c>
      <c r="G94" s="2">
        <f>0.38*F94</f>
        <v>307.42</v>
      </c>
      <c r="H94" s="2">
        <v>1</v>
      </c>
      <c r="I94" s="2" t="s">
        <v>6</v>
      </c>
    </row>
    <row r="95" spans="1:9" x14ac:dyDescent="0.2">
      <c r="A95" s="2" t="s">
        <v>101</v>
      </c>
      <c r="B95" s="2" t="s">
        <v>84</v>
      </c>
      <c r="C95" s="2">
        <v>1</v>
      </c>
      <c r="D95" s="2">
        <f>8.333*F95</f>
        <v>1499.94</v>
      </c>
      <c r="E95" s="2">
        <v>126.14</v>
      </c>
      <c r="F95" s="2">
        <v>180</v>
      </c>
      <c r="G95" s="2">
        <f>0.38*F95</f>
        <v>68.400000000000006</v>
      </c>
      <c r="H95" s="2">
        <v>1</v>
      </c>
      <c r="I95" s="2" t="s">
        <v>13</v>
      </c>
    </row>
    <row r="96" spans="1:9" x14ac:dyDescent="0.2">
      <c r="A96" s="2" t="s">
        <v>108</v>
      </c>
      <c r="B96" s="2" t="s">
        <v>85</v>
      </c>
      <c r="C96" s="2">
        <v>1</v>
      </c>
      <c r="D96" s="2">
        <v>0</v>
      </c>
      <c r="E96" s="2">
        <v>0</v>
      </c>
      <c r="F96" s="2">
        <v>312</v>
      </c>
      <c r="G96" s="2">
        <v>0</v>
      </c>
      <c r="H96" s="2">
        <v>2</v>
      </c>
      <c r="I96" s="2" t="s">
        <v>154</v>
      </c>
    </row>
    <row r="97" spans="1:9" x14ac:dyDescent="0.2">
      <c r="A97" s="2" t="s">
        <v>205</v>
      </c>
      <c r="B97" s="2" t="s">
        <v>85</v>
      </c>
      <c r="C97" s="2">
        <v>1</v>
      </c>
      <c r="D97" s="2">
        <f>3.082*F97</f>
        <v>884.53399999999999</v>
      </c>
      <c r="E97" s="2">
        <v>208.96</v>
      </c>
      <c r="F97" s="2">
        <v>287</v>
      </c>
      <c r="G97" s="2">
        <f>0.38*F97</f>
        <v>109.06</v>
      </c>
      <c r="H97" s="2">
        <v>1</v>
      </c>
      <c r="I97" s="2" t="s">
        <v>6</v>
      </c>
    </row>
    <row r="98" spans="1:9" x14ac:dyDescent="0.2">
      <c r="A98" s="2" t="s">
        <v>103</v>
      </c>
      <c r="B98" s="2" t="s">
        <v>86</v>
      </c>
      <c r="C98" s="2">
        <v>1</v>
      </c>
      <c r="D98" s="2">
        <f>3.082*F98</f>
        <v>440.726</v>
      </c>
      <c r="E98" s="2">
        <v>208.96</v>
      </c>
      <c r="F98" s="2">
        <v>143</v>
      </c>
      <c r="G98" s="2">
        <f>0.38*F98</f>
        <v>54.34</v>
      </c>
      <c r="H98" s="2">
        <v>1</v>
      </c>
      <c r="I98" s="2" t="s">
        <v>6</v>
      </c>
    </row>
    <row r="99" spans="1:9" x14ac:dyDescent="0.2">
      <c r="A99" s="2" t="s">
        <v>114</v>
      </c>
      <c r="B99" s="2" t="s">
        <v>86</v>
      </c>
      <c r="C99" s="2">
        <v>1</v>
      </c>
      <c r="D99" s="2">
        <v>0</v>
      </c>
      <c r="E99" s="2">
        <v>0</v>
      </c>
      <c r="F99" s="2">
        <v>325</v>
      </c>
      <c r="G99" s="2">
        <v>0</v>
      </c>
      <c r="H99" s="2">
        <v>2</v>
      </c>
      <c r="I99" s="2" t="s">
        <v>110</v>
      </c>
    </row>
    <row r="100" spans="1:9" x14ac:dyDescent="0.2">
      <c r="A100" s="2" t="s">
        <v>234</v>
      </c>
      <c r="B100" s="2" t="s">
        <v>24</v>
      </c>
      <c r="C100" s="2">
        <v>1</v>
      </c>
      <c r="D100" s="2">
        <v>0</v>
      </c>
      <c r="E100" s="2">
        <v>0</v>
      </c>
      <c r="F100" s="2">
        <v>6850</v>
      </c>
      <c r="G100" s="2">
        <v>0</v>
      </c>
      <c r="H100" s="2">
        <v>2</v>
      </c>
      <c r="I100" s="2" t="s">
        <v>154</v>
      </c>
    </row>
    <row r="101" spans="1:9" x14ac:dyDescent="0.2">
      <c r="A101" s="2" t="s">
        <v>235</v>
      </c>
      <c r="B101" s="2" t="s">
        <v>24</v>
      </c>
      <c r="C101" s="2">
        <v>1</v>
      </c>
      <c r="D101" s="2">
        <v>0</v>
      </c>
      <c r="E101" s="2">
        <v>0</v>
      </c>
      <c r="F101" s="2">
        <v>3000</v>
      </c>
      <c r="G101" s="2">
        <v>0</v>
      </c>
      <c r="H101" s="2">
        <v>2</v>
      </c>
      <c r="I101" s="2" t="s">
        <v>110</v>
      </c>
    </row>
    <row r="102" spans="1:9" x14ac:dyDescent="0.2">
      <c r="A102" s="2" t="s">
        <v>236</v>
      </c>
      <c r="B102" s="2" t="s">
        <v>25</v>
      </c>
      <c r="C102" s="2">
        <v>1</v>
      </c>
      <c r="D102" s="2">
        <v>0</v>
      </c>
      <c r="E102" s="2">
        <v>0</v>
      </c>
      <c r="F102" s="2">
        <v>2985</v>
      </c>
      <c r="G102" s="2">
        <v>0</v>
      </c>
      <c r="H102" s="2">
        <v>2</v>
      </c>
      <c r="I102" s="2" t="s">
        <v>154</v>
      </c>
    </row>
    <row r="103" spans="1:9" x14ac:dyDescent="0.2">
      <c r="A103" s="2" t="s">
        <v>237</v>
      </c>
      <c r="B103" s="2" t="s">
        <v>25</v>
      </c>
      <c r="C103" s="2">
        <v>1</v>
      </c>
      <c r="D103" s="2">
        <v>0</v>
      </c>
      <c r="E103" s="2">
        <v>0</v>
      </c>
      <c r="F103" s="2">
        <v>7400</v>
      </c>
      <c r="G103" s="2">
        <v>0</v>
      </c>
      <c r="H103" s="2">
        <v>2</v>
      </c>
      <c r="I103" s="2" t="s">
        <v>110</v>
      </c>
    </row>
    <row r="104" spans="1:9" x14ac:dyDescent="0.2">
      <c r="A104" s="2" t="s">
        <v>238</v>
      </c>
      <c r="B104" s="2" t="s">
        <v>73</v>
      </c>
      <c r="C104" s="2">
        <v>1</v>
      </c>
      <c r="D104" s="2">
        <v>0</v>
      </c>
      <c r="E104" s="2">
        <v>0</v>
      </c>
      <c r="F104" s="2">
        <v>6992</v>
      </c>
      <c r="G104" s="2">
        <v>0</v>
      </c>
      <c r="H104" s="2">
        <v>2</v>
      </c>
      <c r="I104" s="2" t="s">
        <v>154</v>
      </c>
    </row>
    <row r="105" spans="1:9" x14ac:dyDescent="0.2">
      <c r="A105" s="2" t="s">
        <v>239</v>
      </c>
      <c r="B105" s="2" t="s">
        <v>75</v>
      </c>
      <c r="C105" s="2">
        <v>1</v>
      </c>
      <c r="D105" s="2">
        <v>0</v>
      </c>
      <c r="E105" s="2">
        <v>0</v>
      </c>
      <c r="F105" s="2">
        <v>5600</v>
      </c>
      <c r="G105" s="2">
        <v>0</v>
      </c>
      <c r="H105" s="2">
        <v>2</v>
      </c>
      <c r="I105" s="2" t="s">
        <v>110</v>
      </c>
    </row>
    <row r="106" spans="1:9" x14ac:dyDescent="0.2">
      <c r="A106" s="2" t="s">
        <v>240</v>
      </c>
      <c r="B106" s="2" t="s">
        <v>60</v>
      </c>
      <c r="C106" s="2">
        <v>1</v>
      </c>
      <c r="D106" s="2">
        <v>0</v>
      </c>
      <c r="E106" s="2">
        <v>0</v>
      </c>
      <c r="F106" s="2">
        <v>8000</v>
      </c>
      <c r="G106" s="2">
        <v>0</v>
      </c>
      <c r="H106" s="2">
        <v>2</v>
      </c>
      <c r="I106" s="2" t="s">
        <v>154</v>
      </c>
    </row>
    <row r="107" spans="1:9" x14ac:dyDescent="0.2">
      <c r="A107" s="2" t="s">
        <v>241</v>
      </c>
      <c r="B107" s="2" t="s">
        <v>60</v>
      </c>
      <c r="C107" s="2">
        <v>1</v>
      </c>
      <c r="D107" s="2">
        <v>0</v>
      </c>
      <c r="E107" s="2">
        <v>0</v>
      </c>
      <c r="F107" s="2">
        <v>18600</v>
      </c>
      <c r="G107" s="2">
        <v>0</v>
      </c>
      <c r="H107" s="2">
        <v>2</v>
      </c>
      <c r="I107" s="2" t="s">
        <v>110</v>
      </c>
    </row>
    <row r="108" spans="1:9" x14ac:dyDescent="0.2">
      <c r="A108" s="2" t="s">
        <v>242</v>
      </c>
      <c r="B108" s="2" t="s">
        <v>84</v>
      </c>
      <c r="C108" s="2">
        <v>1</v>
      </c>
      <c r="D108" s="2">
        <v>0</v>
      </c>
      <c r="E108" s="2">
        <v>0</v>
      </c>
      <c r="F108" s="2">
        <v>1300</v>
      </c>
      <c r="G108" s="2">
        <v>0</v>
      </c>
      <c r="H108" s="2">
        <v>2</v>
      </c>
      <c r="I108" s="2" t="s">
        <v>154</v>
      </c>
    </row>
    <row r="109" spans="1:9" x14ac:dyDescent="0.2">
      <c r="A109" s="2" t="s">
        <v>243</v>
      </c>
      <c r="B109" s="2" t="s">
        <v>84</v>
      </c>
      <c r="C109" s="2">
        <v>1</v>
      </c>
      <c r="D109" s="2">
        <v>0</v>
      </c>
      <c r="E109" s="2">
        <v>0</v>
      </c>
      <c r="F109" s="2">
        <v>4600</v>
      </c>
      <c r="G109" s="2">
        <v>0</v>
      </c>
      <c r="H109" s="2">
        <v>2</v>
      </c>
      <c r="I109" s="2" t="s">
        <v>110</v>
      </c>
    </row>
    <row r="110" spans="1:9" x14ac:dyDescent="0.2">
      <c r="A110" s="2" t="s">
        <v>244</v>
      </c>
      <c r="B110" s="2" t="s">
        <v>86</v>
      </c>
      <c r="C110" s="2">
        <v>1</v>
      </c>
      <c r="D110" s="2">
        <v>0</v>
      </c>
      <c r="E110" s="2">
        <v>0</v>
      </c>
      <c r="F110" s="2">
        <v>20000</v>
      </c>
      <c r="G110" s="2">
        <v>0</v>
      </c>
      <c r="H110" s="2">
        <v>2</v>
      </c>
      <c r="I110" s="2" t="s">
        <v>110</v>
      </c>
    </row>
    <row r="111" spans="1:9" x14ac:dyDescent="0.2">
      <c r="A111" s="2" t="s">
        <v>245</v>
      </c>
      <c r="B111" s="2" t="s">
        <v>57</v>
      </c>
      <c r="C111" s="2">
        <v>1</v>
      </c>
      <c r="D111" s="2">
        <v>0</v>
      </c>
      <c r="E111" s="2">
        <v>0</v>
      </c>
      <c r="F111" s="2">
        <v>20000</v>
      </c>
      <c r="G111" s="2">
        <v>0</v>
      </c>
      <c r="H111" s="2">
        <v>2</v>
      </c>
      <c r="I111" s="2" t="s">
        <v>110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86D1-40BF-4E8B-B45C-65CDF41AC875}">
  <dimension ref="A1:E60"/>
  <sheetViews>
    <sheetView workbookViewId="0">
      <pane ySplit="1" topLeftCell="A2" activePane="bottomLeft" state="frozen"/>
      <selection pane="bottomLeft" activeCell="D27" sqref="D27"/>
    </sheetView>
  </sheetViews>
  <sheetFormatPr defaultColWidth="9.125" defaultRowHeight="14.25" x14ac:dyDescent="0.2"/>
  <cols>
    <col min="1" max="1" width="12.125" style="2" bestFit="1" customWidth="1"/>
    <col min="2" max="2" width="26.25" style="2" customWidth="1"/>
    <col min="3" max="3" width="63.125" style="2" customWidth="1"/>
    <col min="4" max="4" width="48.625" style="2" bestFit="1" customWidth="1"/>
    <col min="5" max="5" width="53" style="2" bestFit="1" customWidth="1"/>
    <col min="6" max="16384" width="9.125" style="1"/>
  </cols>
  <sheetData>
    <row r="1" spans="1:5" x14ac:dyDescent="0.2">
      <c r="A1" s="2" t="s">
        <v>88</v>
      </c>
      <c r="B1" s="2" t="s">
        <v>89</v>
      </c>
      <c r="C1" s="2" t="s">
        <v>92</v>
      </c>
      <c r="D1" s="2" t="s">
        <v>93</v>
      </c>
      <c r="E1" s="2" t="s">
        <v>94</v>
      </c>
    </row>
    <row r="2" spans="1:5" x14ac:dyDescent="0.2">
      <c r="A2" s="2" t="s">
        <v>0</v>
      </c>
      <c r="B2" s="2">
        <v>0</v>
      </c>
      <c r="C2" s="2" t="s">
        <v>267</v>
      </c>
      <c r="D2" s="2" t="s">
        <v>21</v>
      </c>
      <c r="E2" s="2" t="s">
        <v>223</v>
      </c>
    </row>
    <row r="3" spans="1:5" x14ac:dyDescent="0.2">
      <c r="A3" s="2" t="s">
        <v>20</v>
      </c>
      <c r="B3" s="2">
        <v>4.4999999999999998E-2</v>
      </c>
      <c r="C3" s="2" t="s">
        <v>267</v>
      </c>
      <c r="D3" s="2" t="s">
        <v>206</v>
      </c>
      <c r="E3" s="2" t="s">
        <v>22</v>
      </c>
    </row>
    <row r="4" spans="1:5" x14ac:dyDescent="0.2">
      <c r="A4" s="2" t="s">
        <v>2</v>
      </c>
      <c r="B4" s="2">
        <v>0</v>
      </c>
      <c r="C4" s="2" t="s">
        <v>267</v>
      </c>
      <c r="D4" s="2" t="s">
        <v>35</v>
      </c>
      <c r="E4" s="2" t="s">
        <v>36</v>
      </c>
    </row>
    <row r="5" spans="1:5" x14ac:dyDescent="0.2">
      <c r="A5" s="2" t="s">
        <v>4</v>
      </c>
      <c r="B5" s="2">
        <v>0</v>
      </c>
      <c r="C5" s="2" t="s">
        <v>267</v>
      </c>
      <c r="D5" s="2" t="s">
        <v>207</v>
      </c>
      <c r="E5" s="2" t="s">
        <v>19</v>
      </c>
    </row>
    <row r="6" spans="1:5" x14ac:dyDescent="0.2">
      <c r="A6" s="2" t="s">
        <v>5</v>
      </c>
      <c r="B6" s="2">
        <v>0</v>
      </c>
      <c r="C6" s="2" t="s">
        <v>267</v>
      </c>
      <c r="D6" s="2" t="s">
        <v>208</v>
      </c>
      <c r="E6" s="2" t="s">
        <v>22</v>
      </c>
    </row>
    <row r="7" spans="1:5" x14ac:dyDescent="0.2">
      <c r="A7" s="2" t="s">
        <v>7</v>
      </c>
      <c r="B7" s="2">
        <v>0</v>
      </c>
      <c r="C7" s="2" t="s">
        <v>267</v>
      </c>
      <c r="D7" s="2" t="s">
        <v>27</v>
      </c>
      <c r="E7" s="2" t="s">
        <v>22</v>
      </c>
    </row>
    <row r="8" spans="1:5" x14ac:dyDescent="0.2">
      <c r="A8" s="2" t="s">
        <v>23</v>
      </c>
      <c r="B8" s="2">
        <v>3.9E-2</v>
      </c>
      <c r="C8" s="2" t="s">
        <v>267</v>
      </c>
      <c r="D8" s="2" t="s">
        <v>209</v>
      </c>
      <c r="E8" s="2" t="s">
        <v>31</v>
      </c>
    </row>
    <row r="9" spans="1:5" x14ac:dyDescent="0.2">
      <c r="A9" s="2" t="s">
        <v>24</v>
      </c>
      <c r="B9" s="2">
        <v>1.2999999999999999E-2</v>
      </c>
      <c r="C9" s="2" t="s">
        <v>267</v>
      </c>
      <c r="D9" s="2" t="s">
        <v>27</v>
      </c>
      <c r="E9" s="2" t="s">
        <v>29</v>
      </c>
    </row>
    <row r="10" spans="1:5" x14ac:dyDescent="0.2">
      <c r="A10" s="2" t="s">
        <v>25</v>
      </c>
      <c r="B10" s="2">
        <v>0.188</v>
      </c>
      <c r="C10" s="2" t="s">
        <v>267</v>
      </c>
      <c r="D10" s="2" t="s">
        <v>35</v>
      </c>
      <c r="E10" s="2" t="s">
        <v>36</v>
      </c>
    </row>
    <row r="11" spans="1:5" x14ac:dyDescent="0.2">
      <c r="A11" s="2" t="s">
        <v>26</v>
      </c>
      <c r="B11" s="2">
        <v>2.1000000000000001E-2</v>
      </c>
      <c r="C11" s="2" t="s">
        <v>267</v>
      </c>
      <c r="D11" s="2" t="s">
        <v>208</v>
      </c>
      <c r="E11" s="2" t="s">
        <v>224</v>
      </c>
    </row>
    <row r="12" spans="1:5" x14ac:dyDescent="0.2">
      <c r="A12" s="2" t="s">
        <v>28</v>
      </c>
      <c r="B12" s="2">
        <v>0</v>
      </c>
      <c r="C12" s="2" t="s">
        <v>267</v>
      </c>
      <c r="D12" s="2" t="s">
        <v>208</v>
      </c>
      <c r="E12" s="2" t="s">
        <v>224</v>
      </c>
    </row>
    <row r="13" spans="1:5" x14ac:dyDescent="0.2">
      <c r="A13" s="2" t="s">
        <v>30</v>
      </c>
      <c r="B13" s="2">
        <v>0</v>
      </c>
      <c r="C13" s="2" t="s">
        <v>267</v>
      </c>
      <c r="D13" s="2" t="s">
        <v>208</v>
      </c>
      <c r="E13" s="2" t="s">
        <v>224</v>
      </c>
    </row>
    <row r="14" spans="1:5" x14ac:dyDescent="0.2">
      <c r="A14" s="2" t="s">
        <v>32</v>
      </c>
      <c r="B14" s="2">
        <v>0.17</v>
      </c>
      <c r="C14" s="2" t="s">
        <v>267</v>
      </c>
      <c r="D14" s="2" t="s">
        <v>210</v>
      </c>
      <c r="E14" s="2" t="s">
        <v>224</v>
      </c>
    </row>
    <row r="15" spans="1:5" x14ac:dyDescent="0.2">
      <c r="A15" s="2" t="s">
        <v>33</v>
      </c>
      <c r="B15" s="2">
        <v>0.16600000000000001</v>
      </c>
      <c r="C15" s="2" t="s">
        <v>267</v>
      </c>
      <c r="D15" s="2" t="s">
        <v>210</v>
      </c>
      <c r="E15" s="2" t="s">
        <v>224</v>
      </c>
    </row>
    <row r="16" spans="1:5" x14ac:dyDescent="0.2">
      <c r="A16" s="2" t="s">
        <v>34</v>
      </c>
      <c r="B16" s="2">
        <v>0</v>
      </c>
      <c r="C16" s="2" t="s">
        <v>267</v>
      </c>
      <c r="D16" s="2" t="s">
        <v>210</v>
      </c>
      <c r="E16" s="2" t="s">
        <v>224</v>
      </c>
    </row>
    <row r="17" spans="1:5" x14ac:dyDescent="0.2">
      <c r="A17" s="2" t="s">
        <v>37</v>
      </c>
      <c r="B17" s="2">
        <v>0</v>
      </c>
      <c r="C17" s="2" t="s">
        <v>267</v>
      </c>
      <c r="D17" s="2" t="s">
        <v>35</v>
      </c>
      <c r="E17" s="2" t="s">
        <v>36</v>
      </c>
    </row>
    <row r="18" spans="1:5" x14ac:dyDescent="0.2">
      <c r="A18" s="2" t="s">
        <v>38</v>
      </c>
      <c r="B18" s="2">
        <v>4.8000000000000001E-2</v>
      </c>
      <c r="C18" s="2" t="s">
        <v>267</v>
      </c>
      <c r="D18" s="2" t="s">
        <v>27</v>
      </c>
      <c r="E18" s="2" t="s">
        <v>29</v>
      </c>
    </row>
    <row r="19" spans="1:5" x14ac:dyDescent="0.2">
      <c r="A19" s="2" t="s">
        <v>39</v>
      </c>
      <c r="B19" s="2">
        <v>0.184</v>
      </c>
      <c r="C19" s="2" t="s">
        <v>267</v>
      </c>
      <c r="D19" s="2" t="s">
        <v>211</v>
      </c>
      <c r="E19" s="2" t="s">
        <v>225</v>
      </c>
    </row>
    <row r="20" spans="1:5" x14ac:dyDescent="0.2">
      <c r="A20" s="2" t="s">
        <v>40</v>
      </c>
      <c r="B20" s="2">
        <v>0.126</v>
      </c>
      <c r="C20" s="2" t="s">
        <v>267</v>
      </c>
      <c r="D20" s="2" t="s">
        <v>212</v>
      </c>
      <c r="E20" s="2" t="s">
        <v>19</v>
      </c>
    </row>
    <row r="21" spans="1:5" x14ac:dyDescent="0.2">
      <c r="A21" s="2" t="s">
        <v>8</v>
      </c>
      <c r="B21" s="2">
        <v>0</v>
      </c>
      <c r="C21" s="2" t="s">
        <v>268</v>
      </c>
      <c r="D21" s="2" t="s">
        <v>213</v>
      </c>
      <c r="E21" s="2" t="s">
        <v>226</v>
      </c>
    </row>
    <row r="22" spans="1:5" x14ac:dyDescent="0.2">
      <c r="A22" s="2" t="s">
        <v>10</v>
      </c>
      <c r="B22" s="2">
        <v>0</v>
      </c>
      <c r="C22" s="2" t="s">
        <v>268</v>
      </c>
      <c r="D22" s="2" t="s">
        <v>213</v>
      </c>
      <c r="E22" s="2" t="s">
        <v>226</v>
      </c>
    </row>
    <row r="23" spans="1:5" x14ac:dyDescent="0.2">
      <c r="A23" s="2" t="s">
        <v>43</v>
      </c>
      <c r="B23" s="2">
        <v>0</v>
      </c>
      <c r="C23" s="2" t="s">
        <v>268</v>
      </c>
      <c r="D23" s="2" t="s">
        <v>213</v>
      </c>
      <c r="E23" s="2" t="s">
        <v>226</v>
      </c>
    </row>
    <row r="24" spans="1:5" x14ac:dyDescent="0.2">
      <c r="A24" s="2" t="s">
        <v>44</v>
      </c>
      <c r="B24" s="2">
        <v>0</v>
      </c>
      <c r="C24" s="2" t="s">
        <v>268</v>
      </c>
      <c r="D24" s="2" t="s">
        <v>214</v>
      </c>
      <c r="E24" s="2" t="s">
        <v>227</v>
      </c>
    </row>
    <row r="25" spans="1:5" x14ac:dyDescent="0.2">
      <c r="A25" s="2" t="s">
        <v>46</v>
      </c>
      <c r="B25" s="2">
        <v>0</v>
      </c>
      <c r="C25" s="2" t="s">
        <v>268</v>
      </c>
      <c r="D25" s="2" t="s">
        <v>215</v>
      </c>
      <c r="E25" s="2" t="s">
        <v>53</v>
      </c>
    </row>
    <row r="26" spans="1:5" x14ac:dyDescent="0.2">
      <c r="A26" s="2" t="s">
        <v>47</v>
      </c>
      <c r="B26" s="2">
        <v>0.22359999999999999</v>
      </c>
      <c r="C26" s="2" t="s">
        <v>268</v>
      </c>
      <c r="D26" s="2" t="s">
        <v>45</v>
      </c>
      <c r="E26" s="2" t="s">
        <v>228</v>
      </c>
    </row>
    <row r="27" spans="1:5" x14ac:dyDescent="0.2">
      <c r="A27" s="2" t="s">
        <v>48</v>
      </c>
      <c r="B27" s="2">
        <v>0.1182</v>
      </c>
      <c r="C27" s="2" t="s">
        <v>268</v>
      </c>
      <c r="D27" s="2" t="s">
        <v>45</v>
      </c>
      <c r="E27" s="2" t="s">
        <v>228</v>
      </c>
    </row>
    <row r="28" spans="1:5" x14ac:dyDescent="0.2">
      <c r="A28" s="2" t="s">
        <v>49</v>
      </c>
      <c r="B28" s="2">
        <v>0.1191</v>
      </c>
      <c r="C28" s="2" t="s">
        <v>268</v>
      </c>
      <c r="D28" s="2" t="s">
        <v>41</v>
      </c>
      <c r="E28" s="2" t="s">
        <v>229</v>
      </c>
    </row>
    <row r="29" spans="1:5" x14ac:dyDescent="0.2">
      <c r="A29" s="2" t="s">
        <v>50</v>
      </c>
      <c r="B29" s="2">
        <v>3.5499999999999997E-2</v>
      </c>
      <c r="C29" s="2" t="s">
        <v>268</v>
      </c>
      <c r="D29" s="2" t="s">
        <v>216</v>
      </c>
      <c r="E29" s="2" t="s">
        <v>42</v>
      </c>
    </row>
    <row r="30" spans="1:5" x14ac:dyDescent="0.2">
      <c r="A30" s="2" t="s">
        <v>51</v>
      </c>
      <c r="B30" s="2">
        <v>0</v>
      </c>
      <c r="C30" s="2" t="s">
        <v>268</v>
      </c>
      <c r="D30" s="2" t="s">
        <v>216</v>
      </c>
      <c r="E30" s="2" t="s">
        <v>42</v>
      </c>
    </row>
    <row r="31" spans="1:5" x14ac:dyDescent="0.2">
      <c r="A31" s="2" t="s">
        <v>52</v>
      </c>
      <c r="B31" s="2">
        <v>0</v>
      </c>
      <c r="C31" s="2" t="s">
        <v>268</v>
      </c>
      <c r="D31" s="2" t="s">
        <v>216</v>
      </c>
      <c r="E31" s="2" t="s">
        <v>42</v>
      </c>
    </row>
    <row r="32" spans="1:5" x14ac:dyDescent="0.2">
      <c r="A32" s="2" t="s">
        <v>54</v>
      </c>
      <c r="B32" s="2">
        <v>2.0899999999999998E-2</v>
      </c>
      <c r="C32" s="2" t="s">
        <v>268</v>
      </c>
      <c r="D32" s="2" t="s">
        <v>216</v>
      </c>
      <c r="E32" s="2" t="s">
        <v>42</v>
      </c>
    </row>
    <row r="33" spans="1:5" x14ac:dyDescent="0.2">
      <c r="A33" s="2" t="s">
        <v>55</v>
      </c>
      <c r="B33" s="2">
        <v>0.43730000000000002</v>
      </c>
      <c r="C33" s="2" t="s">
        <v>268</v>
      </c>
      <c r="D33" s="2" t="s">
        <v>214</v>
      </c>
      <c r="E33" s="2" t="s">
        <v>227</v>
      </c>
    </row>
    <row r="34" spans="1:5" x14ac:dyDescent="0.2">
      <c r="A34" s="2" t="s">
        <v>56</v>
      </c>
      <c r="B34" s="2">
        <v>4.5499999999999999E-2</v>
      </c>
      <c r="C34" s="2" t="s">
        <v>268</v>
      </c>
      <c r="D34" s="2" t="s">
        <v>41</v>
      </c>
      <c r="E34" s="2" t="s">
        <v>229</v>
      </c>
    </row>
    <row r="35" spans="1:5" x14ac:dyDescent="0.2">
      <c r="A35" s="2" t="s">
        <v>57</v>
      </c>
      <c r="B35" s="2">
        <v>0</v>
      </c>
      <c r="C35" s="2" t="s">
        <v>268</v>
      </c>
      <c r="D35" s="2" t="s">
        <v>217</v>
      </c>
      <c r="E35" s="2" t="s">
        <v>229</v>
      </c>
    </row>
    <row r="36" spans="1:5" x14ac:dyDescent="0.2">
      <c r="A36" s="2" t="s">
        <v>11</v>
      </c>
      <c r="B36" s="2">
        <v>0</v>
      </c>
      <c r="C36" s="2" t="s">
        <v>269</v>
      </c>
      <c r="D36" s="2" t="s">
        <v>218</v>
      </c>
      <c r="E36" s="2" t="s">
        <v>230</v>
      </c>
    </row>
    <row r="37" spans="1:5" x14ac:dyDescent="0.2">
      <c r="A37" s="2" t="s">
        <v>12</v>
      </c>
      <c r="B37" s="2">
        <v>0</v>
      </c>
      <c r="C37" s="2" t="s">
        <v>269</v>
      </c>
      <c r="D37" s="2" t="s">
        <v>219</v>
      </c>
      <c r="E37" s="2" t="s">
        <v>231</v>
      </c>
    </row>
    <row r="38" spans="1:5" x14ac:dyDescent="0.2">
      <c r="A38" s="2" t="s">
        <v>14</v>
      </c>
      <c r="B38" s="2">
        <v>0</v>
      </c>
      <c r="C38" s="2" t="s">
        <v>269</v>
      </c>
      <c r="D38" s="2" t="s">
        <v>219</v>
      </c>
      <c r="E38" s="2" t="s">
        <v>231</v>
      </c>
    </row>
    <row r="39" spans="1:5" x14ac:dyDescent="0.2">
      <c r="A39" s="2" t="s">
        <v>15</v>
      </c>
      <c r="B39" s="2">
        <v>0</v>
      </c>
      <c r="C39" s="2" t="s">
        <v>269</v>
      </c>
      <c r="D39" s="2" t="s">
        <v>219</v>
      </c>
      <c r="E39" s="2" t="s">
        <v>231</v>
      </c>
    </row>
    <row r="40" spans="1:5" x14ac:dyDescent="0.2">
      <c r="A40" s="2" t="s">
        <v>59</v>
      </c>
      <c r="B40" s="2">
        <v>0.22</v>
      </c>
      <c r="C40" s="2" t="s">
        <v>269</v>
      </c>
      <c r="D40" s="2" t="s">
        <v>220</v>
      </c>
      <c r="E40" s="2" t="s">
        <v>66</v>
      </c>
    </row>
    <row r="41" spans="1:5" x14ac:dyDescent="0.2">
      <c r="A41" s="2" t="s">
        <v>60</v>
      </c>
      <c r="B41" s="2">
        <v>0.16439999999999999</v>
      </c>
      <c r="C41" s="2" t="s">
        <v>269</v>
      </c>
      <c r="D41" s="2" t="s">
        <v>61</v>
      </c>
      <c r="E41" s="2" t="s">
        <v>64</v>
      </c>
    </row>
    <row r="42" spans="1:5" x14ac:dyDescent="0.2">
      <c r="A42" s="2" t="s">
        <v>62</v>
      </c>
      <c r="B42" s="2">
        <v>0</v>
      </c>
      <c r="C42" s="2" t="s">
        <v>269</v>
      </c>
      <c r="D42" s="2" t="s">
        <v>221</v>
      </c>
      <c r="E42" s="2" t="s">
        <v>74</v>
      </c>
    </row>
    <row r="43" spans="1:5" x14ac:dyDescent="0.2">
      <c r="A43" s="2" t="s">
        <v>65</v>
      </c>
      <c r="B43" s="2">
        <v>3.3300000000000003E-2</v>
      </c>
      <c r="C43" s="2" t="s">
        <v>269</v>
      </c>
      <c r="D43" s="2" t="s">
        <v>219</v>
      </c>
      <c r="E43" s="2" t="s">
        <v>66</v>
      </c>
    </row>
    <row r="44" spans="1:5" x14ac:dyDescent="0.2">
      <c r="A44" s="2" t="s">
        <v>67</v>
      </c>
      <c r="B44" s="2">
        <v>5.7799999999999997E-2</v>
      </c>
      <c r="C44" s="2" t="s">
        <v>269</v>
      </c>
      <c r="D44" s="2" t="s">
        <v>220</v>
      </c>
      <c r="E44" s="2" t="s">
        <v>66</v>
      </c>
    </row>
    <row r="45" spans="1:5" x14ac:dyDescent="0.2">
      <c r="A45" s="2" t="s">
        <v>68</v>
      </c>
      <c r="B45" s="2">
        <v>0.1178</v>
      </c>
      <c r="C45" s="2" t="s">
        <v>269</v>
      </c>
      <c r="D45" s="2" t="s">
        <v>63</v>
      </c>
      <c r="E45" s="2" t="s">
        <v>66</v>
      </c>
    </row>
    <row r="46" spans="1:5" x14ac:dyDescent="0.2">
      <c r="A46" s="2" t="s">
        <v>69</v>
      </c>
      <c r="B46" s="2">
        <v>0.1278</v>
      </c>
      <c r="C46" s="2" t="s">
        <v>269</v>
      </c>
      <c r="D46" s="2" t="s">
        <v>220</v>
      </c>
      <c r="E46" s="2" t="s">
        <v>66</v>
      </c>
    </row>
    <row r="47" spans="1:5" x14ac:dyDescent="0.2">
      <c r="A47" s="2" t="s">
        <v>70</v>
      </c>
      <c r="B47" s="2">
        <v>0.27889999999999998</v>
      </c>
      <c r="C47" s="2" t="s">
        <v>269</v>
      </c>
      <c r="D47" s="2" t="s">
        <v>220</v>
      </c>
      <c r="E47" s="2" t="s">
        <v>66</v>
      </c>
    </row>
    <row r="48" spans="1:5" x14ac:dyDescent="0.2">
      <c r="A48" s="2" t="s">
        <v>71</v>
      </c>
      <c r="B48" s="2">
        <v>0</v>
      </c>
      <c r="C48" s="2" t="s">
        <v>269</v>
      </c>
      <c r="D48" s="2" t="s">
        <v>63</v>
      </c>
      <c r="E48" s="2" t="s">
        <v>58</v>
      </c>
    </row>
    <row r="49" spans="1:5" x14ac:dyDescent="0.2">
      <c r="A49" s="2" t="s">
        <v>72</v>
      </c>
      <c r="B49" s="2">
        <v>0</v>
      </c>
      <c r="C49" s="2" t="s">
        <v>269</v>
      </c>
      <c r="D49" s="2" t="s">
        <v>63</v>
      </c>
      <c r="E49" s="2" t="s">
        <v>58</v>
      </c>
    </row>
    <row r="50" spans="1:5" x14ac:dyDescent="0.2">
      <c r="A50" s="2" t="s">
        <v>73</v>
      </c>
      <c r="B50" s="2">
        <v>0</v>
      </c>
      <c r="C50" s="2" t="s">
        <v>269</v>
      </c>
      <c r="D50" s="2" t="s">
        <v>63</v>
      </c>
      <c r="E50" s="2" t="s">
        <v>58</v>
      </c>
    </row>
    <row r="51" spans="1:5" x14ac:dyDescent="0.2">
      <c r="A51" s="2" t="s">
        <v>75</v>
      </c>
      <c r="B51" s="2">
        <v>0</v>
      </c>
      <c r="C51" s="2" t="s">
        <v>269</v>
      </c>
      <c r="D51" s="2" t="s">
        <v>63</v>
      </c>
      <c r="E51" s="2" t="s">
        <v>58</v>
      </c>
    </row>
    <row r="52" spans="1:5" x14ac:dyDescent="0.2">
      <c r="A52" s="2" t="s">
        <v>16</v>
      </c>
      <c r="B52" s="2">
        <v>0</v>
      </c>
      <c r="C52" s="2" t="s">
        <v>270</v>
      </c>
      <c r="D52" s="2" t="s">
        <v>83</v>
      </c>
      <c r="E52" s="2" t="s">
        <v>77</v>
      </c>
    </row>
    <row r="53" spans="1:5" x14ac:dyDescent="0.2">
      <c r="A53" s="2" t="s">
        <v>17</v>
      </c>
      <c r="B53" s="2">
        <v>0</v>
      </c>
      <c r="C53" s="2" t="s">
        <v>270</v>
      </c>
      <c r="D53" s="2" t="s">
        <v>80</v>
      </c>
      <c r="E53" s="2" t="s">
        <v>232</v>
      </c>
    </row>
    <row r="54" spans="1:5" x14ac:dyDescent="0.2">
      <c r="A54" s="2" t="s">
        <v>18</v>
      </c>
      <c r="B54" s="2">
        <v>0</v>
      </c>
      <c r="C54" s="2" t="s">
        <v>270</v>
      </c>
      <c r="D54" s="2" t="s">
        <v>222</v>
      </c>
      <c r="E54" s="2" t="s">
        <v>233</v>
      </c>
    </row>
    <row r="55" spans="1:5" x14ac:dyDescent="0.2">
      <c r="A55" s="2" t="s">
        <v>78</v>
      </c>
      <c r="B55" s="2">
        <v>0.13039999999999999</v>
      </c>
      <c r="C55" s="2" t="s">
        <v>270</v>
      </c>
      <c r="D55" s="2" t="s">
        <v>80</v>
      </c>
      <c r="E55" s="2" t="s">
        <v>232</v>
      </c>
    </row>
    <row r="56" spans="1:5" x14ac:dyDescent="0.2">
      <c r="A56" s="2" t="s">
        <v>79</v>
      </c>
      <c r="B56" s="2">
        <v>0</v>
      </c>
      <c r="C56" s="2" t="s">
        <v>270</v>
      </c>
      <c r="D56" s="2" t="s">
        <v>80</v>
      </c>
      <c r="E56" s="2" t="s">
        <v>232</v>
      </c>
    </row>
    <row r="57" spans="1:5" x14ac:dyDescent="0.2">
      <c r="A57" s="2" t="s">
        <v>82</v>
      </c>
      <c r="B57" s="2">
        <v>0</v>
      </c>
      <c r="C57" s="2" t="s">
        <v>270</v>
      </c>
      <c r="D57" s="2" t="s">
        <v>222</v>
      </c>
      <c r="E57" s="2" t="s">
        <v>233</v>
      </c>
    </row>
    <row r="58" spans="1:5" x14ac:dyDescent="0.2">
      <c r="A58" s="2" t="s">
        <v>84</v>
      </c>
      <c r="B58" s="2">
        <v>0.43480000000000002</v>
      </c>
      <c r="C58" s="2" t="s">
        <v>270</v>
      </c>
      <c r="D58" s="2" t="s">
        <v>80</v>
      </c>
      <c r="E58" s="2" t="s">
        <v>232</v>
      </c>
    </row>
    <row r="59" spans="1:5" x14ac:dyDescent="0.2">
      <c r="A59" s="2" t="s">
        <v>85</v>
      </c>
      <c r="B59" s="2">
        <v>0.3478</v>
      </c>
      <c r="C59" s="2" t="s">
        <v>270</v>
      </c>
      <c r="D59" s="2" t="s">
        <v>76</v>
      </c>
      <c r="E59" s="2" t="s">
        <v>77</v>
      </c>
    </row>
    <row r="60" spans="1:5" x14ac:dyDescent="0.2">
      <c r="A60" s="2" t="s">
        <v>86</v>
      </c>
      <c r="B60" s="2">
        <v>8.6999999999999994E-2</v>
      </c>
      <c r="C60" s="2" t="s">
        <v>270</v>
      </c>
      <c r="D60" s="2" t="s">
        <v>76</v>
      </c>
      <c r="E60" s="2" t="s">
        <v>81</v>
      </c>
    </row>
  </sheetData>
  <phoneticPr fontId="1" type="noConversion"/>
  <pageMargins left="0.7" right="0.7" top="0.75" bottom="0.75" header="0.3" footer="0.3"/>
  <pageSetup paperSize="1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D449-B24C-41B9-B6BA-ED4D174B819D}">
  <dimension ref="A1:J22"/>
  <sheetViews>
    <sheetView tabSelected="1" topLeftCell="C1" workbookViewId="0">
      <selection activeCell="J32" sqref="J32"/>
    </sheetView>
  </sheetViews>
  <sheetFormatPr defaultRowHeight="14.25" x14ac:dyDescent="0.2"/>
  <cols>
    <col min="1" max="1" width="19.375" style="2" bestFit="1" customWidth="1"/>
    <col min="2" max="2" width="11.875" style="2" bestFit="1" customWidth="1"/>
    <col min="3" max="3" width="32.125" style="2" bestFit="1" customWidth="1"/>
    <col min="4" max="4" width="31.625" style="2" bestFit="1" customWidth="1"/>
    <col min="5" max="5" width="28.75" style="2" bestFit="1" customWidth="1"/>
    <col min="6" max="6" width="31.125" style="2" bestFit="1" customWidth="1"/>
    <col min="7" max="7" width="20.25" style="2" bestFit="1" customWidth="1"/>
    <col min="8" max="8" width="22.625" style="2" bestFit="1" customWidth="1"/>
    <col min="9" max="9" width="28.625" bestFit="1" customWidth="1"/>
    <col min="10" max="10" width="30.875" bestFit="1" customWidth="1"/>
  </cols>
  <sheetData>
    <row r="1" spans="1:10" x14ac:dyDescent="0.2">
      <c r="A1" s="2" t="s">
        <v>95</v>
      </c>
      <c r="B1" s="2" t="s">
        <v>87</v>
      </c>
      <c r="C1" s="2" t="s">
        <v>96</v>
      </c>
      <c r="D1" s="2" t="s">
        <v>97</v>
      </c>
      <c r="E1" s="2" t="s">
        <v>90</v>
      </c>
      <c r="F1" s="2" t="s">
        <v>91</v>
      </c>
      <c r="G1" s="2" t="s">
        <v>98</v>
      </c>
      <c r="H1" s="2" t="s">
        <v>99</v>
      </c>
      <c r="I1" s="2" t="s">
        <v>271</v>
      </c>
      <c r="J1" s="2" t="s">
        <v>272</v>
      </c>
    </row>
    <row r="2" spans="1:10" x14ac:dyDescent="0.2">
      <c r="A2" s="2" t="s">
        <v>248</v>
      </c>
      <c r="B2" s="2" t="s">
        <v>20</v>
      </c>
      <c r="C2" s="2">
        <v>210</v>
      </c>
      <c r="D2" s="2">
        <v>0</v>
      </c>
      <c r="E2" s="2">
        <f>C2/2</f>
        <v>105</v>
      </c>
      <c r="F2" s="2">
        <f>E2</f>
        <v>105</v>
      </c>
      <c r="G2" s="2">
        <v>90</v>
      </c>
      <c r="H2" s="2">
        <v>90</v>
      </c>
      <c r="I2">
        <f>0.913*E2</f>
        <v>95.865000000000009</v>
      </c>
      <c r="J2">
        <v>2</v>
      </c>
    </row>
    <row r="3" spans="1:10" x14ac:dyDescent="0.2">
      <c r="A3" s="2" t="s">
        <v>246</v>
      </c>
      <c r="B3" s="2" t="s">
        <v>4</v>
      </c>
      <c r="C3" s="2">
        <v>460</v>
      </c>
      <c r="D3" s="2">
        <v>0</v>
      </c>
      <c r="E3" s="2">
        <f t="shared" ref="E3:E22" si="0">C3/2</f>
        <v>230</v>
      </c>
      <c r="F3" s="2">
        <f t="shared" ref="F3:F22" si="1">E3</f>
        <v>230</v>
      </c>
      <c r="G3" s="2">
        <v>90</v>
      </c>
      <c r="H3" s="2">
        <v>90</v>
      </c>
      <c r="I3">
        <f t="shared" ref="I3:I22" si="2">0.913*E3</f>
        <v>209.99</v>
      </c>
      <c r="J3">
        <v>2</v>
      </c>
    </row>
    <row r="4" spans="1:10" x14ac:dyDescent="0.2">
      <c r="A4" s="2" t="s">
        <v>247</v>
      </c>
      <c r="B4" s="2" t="s">
        <v>24</v>
      </c>
      <c r="C4" s="2">
        <v>500</v>
      </c>
      <c r="D4" s="2">
        <v>0</v>
      </c>
      <c r="E4" s="2">
        <f t="shared" si="0"/>
        <v>250</v>
      </c>
      <c r="F4" s="2">
        <f t="shared" si="1"/>
        <v>250</v>
      </c>
      <c r="G4" s="2">
        <v>90</v>
      </c>
      <c r="H4" s="2">
        <v>90</v>
      </c>
      <c r="I4">
        <f t="shared" si="2"/>
        <v>228.25</v>
      </c>
      <c r="J4">
        <v>2</v>
      </c>
    </row>
    <row r="5" spans="1:10" x14ac:dyDescent="0.2">
      <c r="A5" s="2" t="s">
        <v>249</v>
      </c>
      <c r="B5" s="2" t="s">
        <v>33</v>
      </c>
      <c r="C5" s="2">
        <v>78</v>
      </c>
      <c r="D5" s="2">
        <v>0</v>
      </c>
      <c r="E5" s="2">
        <f t="shared" si="0"/>
        <v>39</v>
      </c>
      <c r="F5" s="2">
        <f t="shared" si="1"/>
        <v>39</v>
      </c>
      <c r="G5" s="2">
        <v>90</v>
      </c>
      <c r="H5" s="2">
        <v>90</v>
      </c>
      <c r="I5">
        <f t="shared" si="2"/>
        <v>35.606999999999999</v>
      </c>
      <c r="J5">
        <v>2</v>
      </c>
    </row>
    <row r="6" spans="1:10" x14ac:dyDescent="0.2">
      <c r="A6" s="2" t="s">
        <v>251</v>
      </c>
      <c r="B6" s="2" t="s">
        <v>39</v>
      </c>
      <c r="C6" s="2">
        <v>110</v>
      </c>
      <c r="D6" s="2">
        <v>0</v>
      </c>
      <c r="E6" s="2">
        <f t="shared" si="0"/>
        <v>55</v>
      </c>
      <c r="F6" s="2">
        <f t="shared" si="1"/>
        <v>55</v>
      </c>
      <c r="G6" s="2">
        <v>90</v>
      </c>
      <c r="H6" s="2">
        <v>90</v>
      </c>
      <c r="I6">
        <f t="shared" si="2"/>
        <v>50.215000000000003</v>
      </c>
      <c r="J6">
        <v>2</v>
      </c>
    </row>
    <row r="7" spans="1:10" x14ac:dyDescent="0.2">
      <c r="A7" s="2" t="s">
        <v>250</v>
      </c>
      <c r="B7" s="2" t="s">
        <v>40</v>
      </c>
      <c r="C7" s="2">
        <v>160</v>
      </c>
      <c r="D7" s="2">
        <v>0</v>
      </c>
      <c r="E7" s="2">
        <f t="shared" si="0"/>
        <v>80</v>
      </c>
      <c r="F7" s="2">
        <f t="shared" si="1"/>
        <v>80</v>
      </c>
      <c r="G7" s="2">
        <v>90</v>
      </c>
      <c r="H7" s="2">
        <v>90</v>
      </c>
      <c r="I7">
        <f t="shared" si="2"/>
        <v>73.040000000000006</v>
      </c>
      <c r="J7">
        <v>2</v>
      </c>
    </row>
    <row r="8" spans="1:10" x14ac:dyDescent="0.2">
      <c r="A8" s="2" t="s">
        <v>252</v>
      </c>
      <c r="B8" s="2" t="s">
        <v>43</v>
      </c>
      <c r="C8" s="2">
        <v>300</v>
      </c>
      <c r="D8" s="2">
        <v>0</v>
      </c>
      <c r="E8" s="2">
        <f t="shared" si="0"/>
        <v>150</v>
      </c>
      <c r="F8" s="2">
        <f t="shared" si="1"/>
        <v>150</v>
      </c>
      <c r="G8" s="2">
        <v>90</v>
      </c>
      <c r="H8" s="2">
        <v>90</v>
      </c>
      <c r="I8">
        <f t="shared" si="2"/>
        <v>136.95000000000002</v>
      </c>
      <c r="J8">
        <v>2</v>
      </c>
    </row>
    <row r="9" spans="1:10" x14ac:dyDescent="0.2">
      <c r="A9" s="2" t="s">
        <v>253</v>
      </c>
      <c r="B9" s="2" t="s">
        <v>46</v>
      </c>
      <c r="C9" s="2">
        <v>20</v>
      </c>
      <c r="D9" s="2">
        <v>0</v>
      </c>
      <c r="E9" s="2">
        <f t="shared" si="0"/>
        <v>10</v>
      </c>
      <c r="F9" s="2">
        <f t="shared" si="1"/>
        <v>10</v>
      </c>
      <c r="G9" s="2">
        <v>90</v>
      </c>
      <c r="H9" s="2">
        <v>90</v>
      </c>
      <c r="I9">
        <f t="shared" si="2"/>
        <v>9.1300000000000008</v>
      </c>
      <c r="J9">
        <v>2</v>
      </c>
    </row>
    <row r="10" spans="1:10" x14ac:dyDescent="0.2">
      <c r="A10" s="2" t="s">
        <v>254</v>
      </c>
      <c r="B10" s="2" t="s">
        <v>47</v>
      </c>
      <c r="C10" s="2">
        <v>30</v>
      </c>
      <c r="D10" s="2">
        <v>0</v>
      </c>
      <c r="E10" s="2">
        <f t="shared" si="0"/>
        <v>15</v>
      </c>
      <c r="F10" s="2">
        <f t="shared" si="1"/>
        <v>15</v>
      </c>
      <c r="G10" s="2">
        <v>90</v>
      </c>
      <c r="H10" s="2">
        <v>90</v>
      </c>
      <c r="I10">
        <f t="shared" si="2"/>
        <v>13.695</v>
      </c>
      <c r="J10">
        <v>2</v>
      </c>
    </row>
    <row r="11" spans="1:10" x14ac:dyDescent="0.2">
      <c r="A11" s="2" t="s">
        <v>255</v>
      </c>
      <c r="B11" s="2" t="s">
        <v>54</v>
      </c>
      <c r="C11" s="2">
        <v>5</v>
      </c>
      <c r="D11" s="2">
        <v>0</v>
      </c>
      <c r="E11" s="2">
        <f t="shared" si="0"/>
        <v>2.5</v>
      </c>
      <c r="F11" s="2">
        <f t="shared" si="1"/>
        <v>2.5</v>
      </c>
      <c r="G11" s="2">
        <v>90</v>
      </c>
      <c r="H11" s="2">
        <v>90</v>
      </c>
      <c r="I11">
        <f t="shared" si="2"/>
        <v>2.2825000000000002</v>
      </c>
      <c r="J11">
        <v>2</v>
      </c>
    </row>
    <row r="12" spans="1:10" x14ac:dyDescent="0.2">
      <c r="A12" s="2" t="s">
        <v>256</v>
      </c>
      <c r="B12" s="2" t="s">
        <v>55</v>
      </c>
      <c r="C12" s="2">
        <v>800</v>
      </c>
      <c r="D12" s="2">
        <v>0</v>
      </c>
      <c r="E12" s="2">
        <f t="shared" si="0"/>
        <v>400</v>
      </c>
      <c r="F12" s="2">
        <f t="shared" si="1"/>
        <v>400</v>
      </c>
      <c r="G12" s="2">
        <v>90</v>
      </c>
      <c r="H12" s="2">
        <v>90</v>
      </c>
      <c r="I12">
        <f t="shared" si="2"/>
        <v>365.2</v>
      </c>
      <c r="J12">
        <v>2</v>
      </c>
    </row>
    <row r="13" spans="1:10" x14ac:dyDescent="0.2">
      <c r="A13" s="2" t="s">
        <v>257</v>
      </c>
      <c r="B13" s="2" t="s">
        <v>56</v>
      </c>
      <c r="C13" s="2">
        <v>300</v>
      </c>
      <c r="D13" s="2">
        <v>0</v>
      </c>
      <c r="E13" s="2">
        <f t="shared" si="0"/>
        <v>150</v>
      </c>
      <c r="F13" s="2">
        <f t="shared" si="1"/>
        <v>150</v>
      </c>
      <c r="G13" s="2">
        <v>90</v>
      </c>
      <c r="H13" s="2">
        <v>90</v>
      </c>
      <c r="I13">
        <f t="shared" si="2"/>
        <v>136.95000000000002</v>
      </c>
      <c r="J13">
        <v>2</v>
      </c>
    </row>
    <row r="14" spans="1:10" x14ac:dyDescent="0.2">
      <c r="A14" s="2" t="s">
        <v>258</v>
      </c>
      <c r="B14" s="2" t="s">
        <v>62</v>
      </c>
      <c r="C14" s="2">
        <v>50</v>
      </c>
      <c r="D14" s="2">
        <v>0</v>
      </c>
      <c r="E14" s="2">
        <f t="shared" si="0"/>
        <v>25</v>
      </c>
      <c r="F14" s="2">
        <f t="shared" si="1"/>
        <v>25</v>
      </c>
      <c r="G14" s="2">
        <v>90</v>
      </c>
      <c r="H14" s="2">
        <v>90</v>
      </c>
      <c r="I14">
        <f t="shared" si="2"/>
        <v>22.824999999999999</v>
      </c>
      <c r="J14">
        <v>2</v>
      </c>
    </row>
    <row r="15" spans="1:10" x14ac:dyDescent="0.2">
      <c r="A15" s="2" t="s">
        <v>259</v>
      </c>
      <c r="B15" s="2" t="s">
        <v>68</v>
      </c>
      <c r="C15" s="2">
        <v>200</v>
      </c>
      <c r="D15" s="2">
        <v>0</v>
      </c>
      <c r="E15" s="2">
        <f t="shared" si="0"/>
        <v>100</v>
      </c>
      <c r="F15" s="2">
        <f t="shared" si="1"/>
        <v>100</v>
      </c>
      <c r="G15" s="2">
        <v>90</v>
      </c>
      <c r="H15" s="2">
        <v>90</v>
      </c>
      <c r="I15">
        <f t="shared" si="2"/>
        <v>91.3</v>
      </c>
      <c r="J15">
        <v>2</v>
      </c>
    </row>
    <row r="16" spans="1:10" x14ac:dyDescent="0.2">
      <c r="A16" s="2" t="s">
        <v>260</v>
      </c>
      <c r="B16" s="2" t="s">
        <v>70</v>
      </c>
      <c r="C16" s="2">
        <v>200</v>
      </c>
      <c r="D16" s="2">
        <v>0</v>
      </c>
      <c r="E16" s="2">
        <f t="shared" si="0"/>
        <v>100</v>
      </c>
      <c r="F16" s="2">
        <f t="shared" si="1"/>
        <v>100</v>
      </c>
      <c r="G16" s="2">
        <v>90</v>
      </c>
      <c r="H16" s="2">
        <v>90</v>
      </c>
      <c r="I16">
        <f t="shared" si="2"/>
        <v>91.3</v>
      </c>
      <c r="J16">
        <v>2</v>
      </c>
    </row>
    <row r="17" spans="1:10" x14ac:dyDescent="0.2">
      <c r="A17" s="2" t="s">
        <v>261</v>
      </c>
      <c r="B17" s="2" t="s">
        <v>71</v>
      </c>
      <c r="C17" s="2">
        <v>300</v>
      </c>
      <c r="D17" s="2">
        <v>0</v>
      </c>
      <c r="E17" s="2">
        <f t="shared" si="0"/>
        <v>150</v>
      </c>
      <c r="F17" s="2">
        <f t="shared" si="1"/>
        <v>150</v>
      </c>
      <c r="G17" s="2">
        <v>90</v>
      </c>
      <c r="H17" s="2">
        <v>90</v>
      </c>
      <c r="I17">
        <f t="shared" si="2"/>
        <v>136.95000000000002</v>
      </c>
      <c r="J17">
        <v>2</v>
      </c>
    </row>
    <row r="18" spans="1:10" x14ac:dyDescent="0.2">
      <c r="A18" s="2" t="s">
        <v>262</v>
      </c>
      <c r="B18" s="2" t="s">
        <v>78</v>
      </c>
      <c r="C18" s="2">
        <v>521</v>
      </c>
      <c r="D18" s="2">
        <v>0</v>
      </c>
      <c r="E18" s="2">
        <f t="shared" si="0"/>
        <v>260.5</v>
      </c>
      <c r="F18" s="2">
        <f t="shared" si="1"/>
        <v>260.5</v>
      </c>
      <c r="G18" s="2">
        <v>90</v>
      </c>
      <c r="H18" s="2">
        <v>90</v>
      </c>
      <c r="I18">
        <f t="shared" si="2"/>
        <v>237.8365</v>
      </c>
      <c r="J18">
        <v>2</v>
      </c>
    </row>
    <row r="19" spans="1:10" x14ac:dyDescent="0.2">
      <c r="A19" s="2" t="s">
        <v>263</v>
      </c>
      <c r="B19" s="2" t="s">
        <v>79</v>
      </c>
      <c r="C19" s="2">
        <v>251</v>
      </c>
      <c r="D19" s="2">
        <v>0</v>
      </c>
      <c r="E19" s="2">
        <f t="shared" si="0"/>
        <v>125.5</v>
      </c>
      <c r="F19" s="2">
        <f t="shared" si="1"/>
        <v>125.5</v>
      </c>
      <c r="G19" s="2">
        <v>90</v>
      </c>
      <c r="H19" s="2">
        <v>90</v>
      </c>
      <c r="I19">
        <f t="shared" si="2"/>
        <v>114.58150000000001</v>
      </c>
      <c r="J19">
        <v>2</v>
      </c>
    </row>
    <row r="20" spans="1:10" x14ac:dyDescent="0.2">
      <c r="A20" s="2" t="s">
        <v>264</v>
      </c>
      <c r="B20" s="2" t="s">
        <v>82</v>
      </c>
      <c r="C20" s="2">
        <v>30</v>
      </c>
      <c r="D20" s="2">
        <v>0</v>
      </c>
      <c r="E20" s="2">
        <f t="shared" si="0"/>
        <v>15</v>
      </c>
      <c r="F20" s="2">
        <f t="shared" si="1"/>
        <v>15</v>
      </c>
      <c r="G20" s="2">
        <v>90</v>
      </c>
      <c r="H20" s="2">
        <v>90</v>
      </c>
      <c r="I20">
        <f t="shared" si="2"/>
        <v>13.695</v>
      </c>
      <c r="J20">
        <v>2</v>
      </c>
    </row>
    <row r="21" spans="1:10" x14ac:dyDescent="0.2">
      <c r="A21" s="2" t="s">
        <v>265</v>
      </c>
      <c r="B21" s="2" t="s">
        <v>85</v>
      </c>
      <c r="C21" s="2">
        <v>57</v>
      </c>
      <c r="D21" s="2">
        <v>0</v>
      </c>
      <c r="E21" s="2">
        <f t="shared" si="0"/>
        <v>28.5</v>
      </c>
      <c r="F21" s="2">
        <f t="shared" si="1"/>
        <v>28.5</v>
      </c>
      <c r="G21" s="2">
        <v>90</v>
      </c>
      <c r="H21" s="2">
        <v>90</v>
      </c>
      <c r="I21">
        <f t="shared" si="2"/>
        <v>26.020500000000002</v>
      </c>
      <c r="J21">
        <v>2</v>
      </c>
    </row>
    <row r="22" spans="1:10" x14ac:dyDescent="0.2">
      <c r="A22" s="2" t="s">
        <v>266</v>
      </c>
      <c r="B22" s="2" t="s">
        <v>86</v>
      </c>
      <c r="C22" s="2">
        <v>25</v>
      </c>
      <c r="D22" s="2">
        <v>0</v>
      </c>
      <c r="E22" s="2">
        <f t="shared" si="0"/>
        <v>12.5</v>
      </c>
      <c r="F22" s="2">
        <f t="shared" si="1"/>
        <v>12.5</v>
      </c>
      <c r="G22" s="2">
        <v>90</v>
      </c>
      <c r="H22" s="2">
        <v>90</v>
      </c>
      <c r="I22">
        <f t="shared" si="2"/>
        <v>11.4125</v>
      </c>
      <c r="J22">
        <v>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Generator Data</vt:lpstr>
      <vt:lpstr>Bus Data</vt:lpstr>
      <vt:lpstr>Utility Storage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Teola</dc:creator>
  <cp:lastModifiedBy>Zihao Qiu</cp:lastModifiedBy>
  <dcterms:created xsi:type="dcterms:W3CDTF">2015-06-05T18:17:20Z</dcterms:created>
  <dcterms:modified xsi:type="dcterms:W3CDTF">2026-03-29T13:11:24Z</dcterms:modified>
</cp:coreProperties>
</file>